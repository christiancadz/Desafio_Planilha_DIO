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52918\Downloads\"/>
    </mc:Choice>
  </mc:AlternateContent>
  <xr:revisionPtr revIDLastSave="0" documentId="13_ncr:1_{9DFB3D7B-6211-49E8-9CF6-F9B187586F82}" xr6:coauthVersionLast="47" xr6:coauthVersionMax="47" xr10:uidLastSave="{00000000-0000-0000-0000-000000000000}"/>
  <bookViews>
    <workbookView xWindow="-120" yWindow="-120" windowWidth="21840" windowHeight="13020" activeTab="1" xr2:uid="{D0DCFDF2-9936-4C92-A8A5-7B8DF7B98EA6}"/>
  </bookViews>
  <sheets>
    <sheet name="Carteira" sheetId="1" r:id="rId1"/>
    <sheet name="Banco de dados" sheetId="2" r:id="rId2"/>
  </sheets>
  <definedNames>
    <definedName name="aporte">Carteira!$D$23</definedName>
    <definedName name="redimento_carteira">Carteira!$C$17</definedName>
    <definedName name="salario">Carteira!$C$16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C44" i="1"/>
  <c r="C45" i="1"/>
  <c r="C46" i="1"/>
  <c r="C47" i="1"/>
  <c r="C42" i="1"/>
  <c r="D43" i="1"/>
  <c r="D44" i="1"/>
  <c r="D45" i="1"/>
  <c r="D46" i="1"/>
  <c r="D47" i="1"/>
  <c r="D42" i="1"/>
  <c r="A11" i="2"/>
  <c r="A12" i="2"/>
  <c r="A13" i="2"/>
  <c r="A14" i="2"/>
  <c r="A15" i="2"/>
  <c r="A16" i="2"/>
  <c r="A17" i="2"/>
  <c r="A18" i="2"/>
  <c r="A19" i="2"/>
  <c r="A20" i="2"/>
  <c r="A21" i="2"/>
  <c r="A10" i="2"/>
  <c r="D39" i="1"/>
  <c r="C18" i="1"/>
  <c r="D23" i="1" s="1"/>
  <c r="D48" i="1" l="1"/>
  <c r="C33" i="1"/>
  <c r="D33" i="1" s="1"/>
  <c r="D26" i="1"/>
  <c r="D27" i="1" s="1"/>
  <c r="C32" i="1"/>
  <c r="D32" i="1" s="1"/>
  <c r="C34" i="1"/>
  <c r="D34" i="1" s="1"/>
  <c r="C35" i="1"/>
  <c r="D35" i="1" s="1"/>
  <c r="C36" i="1"/>
  <c r="D36" i="1" s="1"/>
</calcChain>
</file>

<file path=xl/sharedStrings.xml><?xml version="1.0" encoding="utf-8"?>
<sst xmlns="http://schemas.openxmlformats.org/spreadsheetml/2006/main" count="72" uniqueCount="38">
  <si>
    <t>Por quantos anos?</t>
  </si>
  <si>
    <t>Patrimônio acumulado?</t>
  </si>
  <si>
    <t>Quanto investir por mês?</t>
  </si>
  <si>
    <t>Taxa de rendimento mensal?</t>
  </si>
  <si>
    <t>Quanto em 2 anos?</t>
  </si>
  <si>
    <t>Quantos em 5 anos?</t>
  </si>
  <si>
    <t>Quantos em 10 anos?</t>
  </si>
  <si>
    <t>Quantos em 20 anos?</t>
  </si>
  <si>
    <t>Quantos em 30 anos?</t>
  </si>
  <si>
    <t>Configurações</t>
  </si>
  <si>
    <t>Salário</t>
  </si>
  <si>
    <t>Rendimento Carteira</t>
  </si>
  <si>
    <t>Sugestão de Investimento</t>
  </si>
  <si>
    <t xml:space="preserve">Dividendos mensais? 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</si>
  <si>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</si>
  <si>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</si>
  <si>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</si>
  <si>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</si>
  <si>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</si>
  <si>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</si>
  <si>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</si>
  <si>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</si>
  <si>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</si>
  <si>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</si>
  <si>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 xml:space="preserve">Hotelarias </t>
  </si>
  <si>
    <t>Tipos de FIIs</t>
  </si>
  <si>
    <t>Conservador</t>
  </si>
  <si>
    <t>Chave</t>
  </si>
  <si>
    <t>CONSERVADOR-Papel</t>
  </si>
  <si>
    <t>CONSERVADOR-Tijolo</t>
  </si>
  <si>
    <t>CONSERVADOR-Híbridos</t>
  </si>
  <si>
    <t>CONSERVADOR-FOFs</t>
  </si>
  <si>
    <t>CONSERVADOR-Desenvolvimento</t>
  </si>
  <si>
    <t xml:space="preserve">CONSERVADOR-Hotelarias </t>
  </si>
  <si>
    <t>Moderado</t>
  </si>
  <si>
    <t>Agressivo</t>
  </si>
  <si>
    <t>%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</si>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</sst>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2" tint="-9.9948118533890809E-2"/>
      </bottom>
      <diagonal/>
    </border>
    <border>
      <left/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medium">
        <color indexed="64"/>
      </bottom>
      <diagonal/>
    </border>
    <border>
      <left/>
      <right/>
      <top style="thin">
        <color theme="2" tint="-9.9948118533890809E-2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2" tint="-9.9948118533890809E-2"/>
      </bottom>
      <diagonal/>
    </border>
    <border>
      <left/>
      <right/>
      <top style="medium">
        <color indexed="64"/>
      </top>
      <bottom style="medium">
        <color theme="2" tint="-9.9948118533890809E-2"/>
      </bottom>
      <diagonal/>
    </border>
    <border>
      <left/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/>
      <top style="medium">
        <color theme="2" tint="-9.9948118533890809E-2"/>
      </top>
      <bottom style="medium">
        <color indexed="64"/>
      </bottom>
      <diagonal/>
    </border>
    <border>
      <left/>
      <right/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4659260841701"/>
      </bottom>
      <diagonal/>
    </border>
    <border>
      <left/>
      <right/>
      <top style="medium">
        <color indexed="64"/>
      </top>
      <bottom style="thin">
        <color theme="2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medium">
        <color indexed="64"/>
      </bottom>
      <diagonal/>
    </border>
    <border>
      <left/>
      <right/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theme="2" tint="-9.9948118533890809E-2"/>
      </bottom>
      <diagonal/>
    </border>
    <border>
      <left/>
      <right/>
      <top style="double">
        <color indexed="64"/>
      </top>
      <bottom style="medium">
        <color theme="2" tint="-9.9948118533890809E-2"/>
      </bottom>
      <diagonal/>
    </border>
    <border>
      <left/>
      <right style="medium">
        <color indexed="64"/>
      </right>
      <top style="double">
        <color indexed="64"/>
      </top>
      <bottom style="medium">
        <color theme="2" tint="-9.9948118533890809E-2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3" fillId="2" borderId="0" xfId="0" applyFont="1" applyFill="1"/>
    <xf numFmtId="8" fontId="0" fillId="3" borderId="5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8" fontId="2" fillId="3" borderId="8" xfId="0" applyNumberFormat="1" applyFont="1" applyFill="1" applyBorder="1" applyAlignment="1">
      <alignment horizontal="center" vertical="center"/>
    </xf>
    <xf numFmtId="8" fontId="2" fillId="3" borderId="9" xfId="0" applyNumberFormat="1" applyFont="1" applyFill="1" applyBorder="1" applyAlignment="1">
      <alignment horizontal="center" vertical="center"/>
    </xf>
    <xf numFmtId="165" fontId="0" fillId="3" borderId="10" xfId="1" applyNumberFormat="1" applyFont="1" applyFill="1" applyBorder="1" applyAlignment="1">
      <alignment horizontal="right" vertical="center"/>
    </xf>
    <xf numFmtId="9" fontId="0" fillId="3" borderId="11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13" xfId="0" applyFill="1" applyBorder="1"/>
    <xf numFmtId="165" fontId="0" fillId="3" borderId="14" xfId="1" applyNumberFormat="1" applyFont="1" applyFill="1" applyBorder="1" applyAlignment="1">
      <alignment horizontal="right" vertical="center"/>
    </xf>
    <xf numFmtId="0" fontId="0" fillId="3" borderId="15" xfId="0" applyFill="1" applyBorder="1"/>
    <xf numFmtId="44" fontId="0" fillId="3" borderId="16" xfId="1" applyFont="1" applyFill="1" applyBorder="1" applyAlignment="1">
      <alignment horizontal="right" vertical="center"/>
    </xf>
    <xf numFmtId="0" fontId="0" fillId="3" borderId="17" xfId="0" applyFill="1" applyBorder="1"/>
    <xf numFmtId="165" fontId="0" fillId="3" borderId="18" xfId="1" applyNumberFormat="1" applyFont="1" applyFill="1" applyBorder="1" applyAlignment="1">
      <alignment horizontal="right" vertical="center"/>
    </xf>
    <xf numFmtId="165" fontId="0" fillId="3" borderId="19" xfId="1" applyNumberFormat="1" applyFont="1" applyFill="1" applyBorder="1" applyAlignment="1">
      <alignment horizontal="right" vertic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65" fontId="2" fillId="3" borderId="22" xfId="1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0" fillId="3" borderId="25" xfId="0" applyFill="1" applyBorder="1"/>
    <xf numFmtId="8" fontId="0" fillId="3" borderId="26" xfId="0" applyNumberFormat="1" applyFill="1" applyBorder="1" applyAlignment="1">
      <alignment horizontal="center" vertical="center"/>
    </xf>
    <xf numFmtId="8" fontId="0" fillId="3" borderId="27" xfId="0" applyNumberFormat="1" applyFill="1" applyBorder="1" applyAlignment="1">
      <alignment horizontal="center" vertical="center"/>
    </xf>
    <xf numFmtId="0" fontId="0" fillId="3" borderId="28" xfId="0" applyFill="1" applyBorder="1"/>
    <xf numFmtId="8" fontId="0" fillId="3" borderId="29" xfId="0" applyNumberFormat="1" applyFill="1" applyBorder="1" applyAlignment="1">
      <alignment horizontal="center" vertical="center"/>
    </xf>
    <xf numFmtId="0" fontId="0" fillId="3" borderId="30" xfId="0" applyFill="1" applyBorder="1"/>
    <xf numFmtId="8" fontId="0" fillId="3" borderId="31" xfId="0" applyNumberFormat="1" applyFill="1" applyBorder="1" applyAlignment="1">
      <alignment horizontal="center" vertical="center"/>
    </xf>
    <xf numFmtId="8" fontId="0" fillId="3" borderId="32" xfId="0" applyNumberForma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5" fontId="0" fillId="3" borderId="40" xfId="0" applyNumberFormat="1" applyFill="1" applyBorder="1"/>
    <xf numFmtId="165" fontId="0" fillId="3" borderId="8" xfId="0" applyNumberFormat="1" applyFill="1" applyBorder="1"/>
    <xf numFmtId="165" fontId="0" fillId="3" borderId="9" xfId="0" applyNumberFormat="1" applyFill="1" applyBorder="1"/>
    <xf numFmtId="9" fontId="0" fillId="3" borderId="39" xfId="0" applyNumberFormat="1" applyFill="1" applyBorder="1" applyAlignment="1">
      <alignment horizontal="center" vertical="center"/>
    </xf>
    <xf numFmtId="0" fontId="0" fillId="0" borderId="0" xfId="0" applyBorder="1"/>
    <xf numFmtId="0" fontId="0" fillId="0" borderId="41" xfId="0" applyBorder="1"/>
    <xf numFmtId="0" fontId="0" fillId="0" borderId="42" xfId="0" applyBorder="1"/>
    <xf numFmtId="0" fontId="0" fillId="0" borderId="3" xfId="0" applyBorder="1"/>
    <xf numFmtId="0" fontId="0" fillId="0" borderId="43" xfId="0" applyBorder="1"/>
    <xf numFmtId="0" fontId="0" fillId="0" borderId="45" xfId="0" applyBorder="1"/>
    <xf numFmtId="0" fontId="0" fillId="0" borderId="33" xfId="0" applyBorder="1"/>
    <xf numFmtId="0" fontId="0" fillId="0" borderId="34" xfId="0" applyBorder="1"/>
    <xf numFmtId="0" fontId="2" fillId="0" borderId="1" xfId="0" applyFont="1" applyBorder="1"/>
    <xf numFmtId="0" fontId="2" fillId="0" borderId="12" xfId="0" applyFont="1" applyBorder="1"/>
    <xf numFmtId="0" fontId="2" fillId="0" borderId="2" xfId="0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44" xfId="2" applyFont="1" applyBorder="1" applyAlignment="1">
      <alignment horizontal="center" vertical="center"/>
    </xf>
    <xf numFmtId="9" fontId="0" fillId="0" borderId="46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44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3" borderId="7" xfId="0" applyNumberFormat="1" applyFill="1" applyBorder="1" applyAlignment="1">
      <alignment horizontal="center" vertical="center"/>
    </xf>
    <xf numFmtId="0" fontId="0" fillId="3" borderId="23" xfId="0" applyFill="1" applyBorder="1"/>
    <xf numFmtId="0" fontId="0" fillId="3" borderId="24" xfId="0" applyFill="1" applyBorder="1"/>
    <xf numFmtId="0" fontId="0" fillId="5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" xfId="0" applyFill="1" applyBorder="1"/>
    <xf numFmtId="0" fontId="2" fillId="3" borderId="33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165" fontId="0" fillId="3" borderId="32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valori.it/investimenti-sostenibili-tassonomia-ue-2/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171449</xdr:colOff>
      <xdr:row>0</xdr:row>
      <xdr:rowOff>104775</xdr:rowOff>
    </xdr:from>
    <xdr:to>
      <xdr:col>3</xdr:col>
      <xdr:colOff>781049</xdr:colOff>
      <xdr:row>11</xdr:row>
      <xdr:rowOff>37119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A8E3A8-BE41-2C1D-9CD8-7110124C6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t="17575" b="8131"/>
        <a:stretch/>
      </xdr:blipFill>
      <xdr:spPr>
        <a:xfrm>
          <a:off x="781049" y="104775"/>
          <a:ext cx="4448175" cy="2027844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0</xdr:colOff>
      <xdr:row>19</xdr:row>
      <xdr:rowOff>104775</xdr:rowOff>
    </xdr:from>
    <xdr:to>
      <xdr:col>4</xdr:col>
      <xdr:colOff>19050</xdr:colOff>
      <xdr:row>22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DB65336-92B7-557B-4D67-42BC667F326C}"/>
            </a:ext>
          </a:extLst>
        </xdr:cNvPr>
        <xdr:cNvSpPr/>
      </xdr:nvSpPr>
      <xdr:spPr>
        <a:xfrm>
          <a:off x="609600" y="3743325"/>
          <a:ext cx="4191000" cy="485775"/>
        </a:xfrm>
        <a:prstGeom prst="rect">
          <a:avLst/>
        </a:prstGeom>
        <a:effectLst>
          <a:softEdge rad="12700"/>
        </a:effectLst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INVESTIMENTO MENSAL</a:t>
          </a:r>
        </a:p>
      </xdr:txBody>
    </xdr:sp>
    <xdr:clientData/>
  </xdr:twoCellAnchor>
  <xdr:twoCellAnchor>
    <xdr:from>
      <xdr:col>0</xdr:col>
      <xdr:colOff>600074</xdr:colOff>
      <xdr:row>28</xdr:row>
      <xdr:rowOff>85725</xdr:rowOff>
    </xdr:from>
    <xdr:to>
      <xdr:col>4</xdr:col>
      <xdr:colOff>9525</xdr:colOff>
      <xdr:row>31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BA8F668-1E54-4800-9C2C-EE95E6F115FD}"/>
            </a:ext>
          </a:extLst>
        </xdr:cNvPr>
        <xdr:cNvSpPr/>
      </xdr:nvSpPr>
      <xdr:spPr>
        <a:xfrm>
          <a:off x="600074" y="3762375"/>
          <a:ext cx="4019551" cy="4857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softEdge rad="12700"/>
        </a:effectLst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tx1"/>
              </a:solidFill>
            </a:rPr>
            <a:t>Cenários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00D4-A6EE-4DBE-B12B-C6530C3D6E16}">
  <dimension ref="A12:G55"/>
  <sheetViews>
    <sheetView showGridLines="0" topLeftCell="A21" zoomScale="85" zoomScaleNormal="85" workbookViewId="0">
      <selection activeCell="E35" sqref="E35"/>
    </sheetView>
  </sheetViews>
  <sheetFormatPr defaultColWidth="0" defaultRowHeight="15" x14ac:dyDescent="0.25"/>
  <cols>
    <col min="1" max="1" width="9.140625" style="1" customWidth="1"/>
    <col min="2" max="2" width="26.85546875" style="1" bestFit="1" customWidth="1"/>
    <col min="3" max="3" width="30.7109375" style="1" bestFit="1" customWidth="1"/>
    <col min="4" max="4" width="14.42578125" style="1" bestFit="1" customWidth="1"/>
    <col min="5" max="5" width="9.140625" style="1" customWidth="1"/>
    <col min="6" max="7" width="14.28515625" style="1" hidden="1" customWidth="1"/>
    <col min="8" max="8" width="9.140625" style="1" hidden="1" customWidth="1"/>
    <col min="9" max="16384" width="9.140625" style="1" hidden="1"/>
  </cols>
  <sheetData>
    <row r="12" spans="2:4" ht="15.75" thickBot="1" x14ac:dyDescent="0.3"/>
    <row r="13" spans="2:4" x14ac:dyDescent="0.25">
      <c r="B13" s="18" t="s">
        <v>9</v>
      </c>
      <c r="C13" s="19"/>
      <c r="D13" s="20"/>
    </row>
    <row r="14" spans="2:4" x14ac:dyDescent="0.25">
      <c r="B14" s="21"/>
      <c r="C14" s="22"/>
      <c r="D14" s="23"/>
    </row>
    <row r="15" spans="2:4" x14ac:dyDescent="0.25">
      <c r="B15" s="21"/>
      <c r="C15" s="22"/>
      <c r="D15" s="23"/>
    </row>
    <row r="16" spans="2:4" x14ac:dyDescent="0.25">
      <c r="B16" s="24" t="s">
        <v>10</v>
      </c>
      <c r="C16" s="16">
        <v>1500</v>
      </c>
      <c r="D16" s="25"/>
    </row>
    <row r="17" spans="1:4" x14ac:dyDescent="0.25">
      <c r="B17" s="26" t="s">
        <v>11</v>
      </c>
      <c r="C17" s="17">
        <v>0.01</v>
      </c>
      <c r="D17" s="27"/>
    </row>
    <row r="18" spans="1:4" ht="15.75" thickBot="1" x14ac:dyDescent="0.3">
      <c r="B18" s="28" t="s">
        <v>12</v>
      </c>
      <c r="C18" s="29">
        <f>30%*salario</f>
        <v>450</v>
      </c>
      <c r="D18" s="30"/>
    </row>
    <row r="20" spans="1:4" ht="15.75" thickBot="1" x14ac:dyDescent="0.3"/>
    <row r="21" spans="1:4" x14ac:dyDescent="0.25">
      <c r="B21" s="2"/>
      <c r="C21" s="3"/>
    </row>
    <row r="22" spans="1:4" ht="15.75" thickBot="1" x14ac:dyDescent="0.3">
      <c r="B22" s="6"/>
      <c r="C22" s="7"/>
    </row>
    <row r="23" spans="1:4" ht="15.75" thickBot="1" x14ac:dyDescent="0.3">
      <c r="B23" s="31" t="s">
        <v>2</v>
      </c>
      <c r="C23" s="32"/>
      <c r="D23" s="33">
        <f>C18</f>
        <v>450</v>
      </c>
    </row>
    <row r="24" spans="1:4" ht="15.75" thickBot="1" x14ac:dyDescent="0.3">
      <c r="B24" s="8" t="s">
        <v>0</v>
      </c>
      <c r="C24" s="9"/>
      <c r="D24" s="10">
        <v>5</v>
      </c>
    </row>
    <row r="25" spans="1:4" ht="15.75" thickBot="1" x14ac:dyDescent="0.3">
      <c r="B25" s="8" t="s">
        <v>3</v>
      </c>
      <c r="C25" s="9"/>
      <c r="D25" s="11">
        <v>1.0789999999999999E-2</v>
      </c>
    </row>
    <row r="26" spans="1:4" ht="15.75" thickBot="1" x14ac:dyDescent="0.3">
      <c r="B26" s="12" t="s">
        <v>1</v>
      </c>
      <c r="C26" s="13"/>
      <c r="D26" s="14">
        <f>FV(D25,D24*12,-D23)</f>
        <v>37699.61129931944</v>
      </c>
    </row>
    <row r="27" spans="1:4" ht="15.75" thickBot="1" x14ac:dyDescent="0.3">
      <c r="B27" s="34" t="s">
        <v>13</v>
      </c>
      <c r="C27" s="35"/>
      <c r="D27" s="15">
        <f>D26*$C$17</f>
        <v>376.9961129931944</v>
      </c>
    </row>
    <row r="31" spans="1:4" ht="15.75" thickBot="1" x14ac:dyDescent="0.3"/>
    <row r="32" spans="1:4" x14ac:dyDescent="0.25">
      <c r="A32" s="4">
        <v>2</v>
      </c>
      <c r="B32" s="36" t="s">
        <v>4</v>
      </c>
      <c r="C32" s="37">
        <f>FV($D$25,12*A32,-$D$23)</f>
        <v>12252.432283940348</v>
      </c>
      <c r="D32" s="38">
        <f>C32*$C$17</f>
        <v>122.52432283940348</v>
      </c>
    </row>
    <row r="33" spans="1:4" x14ac:dyDescent="0.25">
      <c r="A33" s="4">
        <v>5</v>
      </c>
      <c r="B33" s="39" t="s">
        <v>5</v>
      </c>
      <c r="C33" s="5">
        <f>FV($D$25,12*A33,-$D$23)</f>
        <v>37699.61129931944</v>
      </c>
      <c r="D33" s="40">
        <f>C33*$C$17</f>
        <v>376.9961129931944</v>
      </c>
    </row>
    <row r="34" spans="1:4" x14ac:dyDescent="0.25">
      <c r="A34" s="4">
        <v>10</v>
      </c>
      <c r="B34" s="39" t="s">
        <v>6</v>
      </c>
      <c r="C34" s="5">
        <f>FV($D$25,12*A34,-$D$23)</f>
        <v>109477.89563857749</v>
      </c>
      <c r="D34" s="40">
        <f>C34*$C$17</f>
        <v>1094.778956385775</v>
      </c>
    </row>
    <row r="35" spans="1:4" x14ac:dyDescent="0.25">
      <c r="A35" s="4">
        <v>20</v>
      </c>
      <c r="B35" s="39" t="s">
        <v>7</v>
      </c>
      <c r="C35" s="5">
        <f>FV($D$25,12*A35,-$D$23)</f>
        <v>506339.28004368627</v>
      </c>
      <c r="D35" s="40">
        <f>C35*$C$17</f>
        <v>5063.3928004368627</v>
      </c>
    </row>
    <row r="36" spans="1:4" ht="15.75" thickBot="1" x14ac:dyDescent="0.3">
      <c r="A36" s="4">
        <v>30</v>
      </c>
      <c r="B36" s="41" t="s">
        <v>8</v>
      </c>
      <c r="C36" s="42">
        <f>FV($D$25,12*A36,-$D$23)</f>
        <v>1944976.3447521215</v>
      </c>
      <c r="D36" s="43">
        <f>C36*$C$17</f>
        <v>19449.763447521214</v>
      </c>
    </row>
    <row r="37" spans="1:4" ht="15.75" thickBot="1" x14ac:dyDescent="0.3"/>
    <row r="38" spans="1:4" ht="15" customHeight="1" x14ac:dyDescent="0.25">
      <c r="B38" s="73" t="s">
        <v>14</v>
      </c>
      <c r="C38" s="74"/>
      <c r="D38" s="75" t="s">
        <v>37</v>
      </c>
    </row>
    <row r="39" spans="1:4" ht="15" customHeight="1" thickBot="1" x14ac:dyDescent="0.3">
      <c r="B39" s="76" t="s">
        <v>15</v>
      </c>
      <c r="C39" s="77"/>
      <c r="D39" s="78">
        <f>aporte</f>
        <v>450</v>
      </c>
    </row>
    <row r="40" spans="1:4" ht="15" customHeight="1" thickBot="1" x14ac:dyDescent="0.3"/>
    <row r="41" spans="1:4" ht="15.75" thickBot="1" x14ac:dyDescent="0.3">
      <c r="B41" s="44" t="s">
        <v>16</v>
      </c>
      <c r="C41" s="45" t="s">
        <v>17</v>
      </c>
      <c r="D41" s="46" t="s">
        <v>18</v>
      </c>
    </row>
    <row r="42" spans="1:4" ht="16.5" thickTop="1" thickBot="1" x14ac:dyDescent="0.3">
      <c r="B42" s="47" t="s">
        <v>19</v>
      </c>
      <c r="C42" s="52">
        <f>VLOOKUP($D$38&amp;"-"&amp;B42,'Banco de dados'!A3:D21,4,FALSE)</f>
        <v>0.32</v>
      </c>
      <c r="D42" s="49">
        <f>VLOOKUP($D$38&amp;"-"&amp;B42,'Banco de dados'!A3:D21,4,FALSE) *$D$39</f>
        <v>144</v>
      </c>
    </row>
    <row r="43" spans="1:4" ht="15.75" thickBot="1" x14ac:dyDescent="0.3">
      <c r="B43" s="48" t="s">
        <v>20</v>
      </c>
      <c r="C43" s="70">
        <f>VLOOKUP($D$38&amp;"-"&amp;B43,'Banco de dados'!A4:D22,4,FALSE)</f>
        <v>0.4</v>
      </c>
      <c r="D43" s="50">
        <f>VLOOKUP($D$38&amp;"-"&amp;B43,'Banco de dados'!A4:D22,4,FALSE) *$D$39</f>
        <v>180</v>
      </c>
    </row>
    <row r="44" spans="1:4" ht="15.75" thickBot="1" x14ac:dyDescent="0.3">
      <c r="B44" s="48" t="s">
        <v>21</v>
      </c>
      <c r="C44" s="70">
        <f>VLOOKUP($D$38&amp;"-"&amp;B44,'Banco de dados'!A5:D23,4,FALSE)</f>
        <v>0.08</v>
      </c>
      <c r="D44" s="50">
        <f>VLOOKUP($D$38&amp;"-"&amp;B44,'Banco de dados'!A5:D23,4,FALSE) *$D$39</f>
        <v>36</v>
      </c>
    </row>
    <row r="45" spans="1:4" ht="15.75" thickBot="1" x14ac:dyDescent="0.3">
      <c r="B45" s="48" t="s">
        <v>22</v>
      </c>
      <c r="C45" s="70">
        <f>VLOOKUP($D$38&amp;"-"&amp;B45,'Banco de dados'!A6:D24,4,FALSE)</f>
        <v>0.1</v>
      </c>
      <c r="D45" s="50">
        <f>VLOOKUP($D$38&amp;"-"&amp;B45,'Banco de dados'!A6:D24,4,FALSE) *$D$39</f>
        <v>45</v>
      </c>
    </row>
    <row r="46" spans="1:4" ht="15.75" thickBot="1" x14ac:dyDescent="0.3">
      <c r="B46" s="48" t="s">
        <v>23</v>
      </c>
      <c r="C46" s="70">
        <f>VLOOKUP($D$38&amp;"-"&amp;B46,'Banco de dados'!A7:D25,4,FALSE)</f>
        <v>0.05</v>
      </c>
      <c r="D46" s="50">
        <f>VLOOKUP($D$38&amp;"-"&amp;B46,'Banco de dados'!A7:D25,4,FALSE) *$D$39</f>
        <v>22.5</v>
      </c>
    </row>
    <row r="47" spans="1:4" ht="15.75" thickBot="1" x14ac:dyDescent="0.3">
      <c r="B47" s="48" t="s">
        <v>24</v>
      </c>
      <c r="C47" s="70">
        <f>VLOOKUP($D$38&amp;"-"&amp;B47,'Banco de dados'!A8:D26,4,FALSE)</f>
        <v>0.05</v>
      </c>
      <c r="D47" s="50">
        <f>VLOOKUP($D$38&amp;"-"&amp;B47,'Banco de dados'!A8:D26,4,FALSE) *$D$39</f>
        <v>22.5</v>
      </c>
    </row>
    <row r="48" spans="1:4" ht="15.75" thickBot="1" x14ac:dyDescent="0.3">
      <c r="B48" s="71"/>
      <c r="C48" s="72"/>
      <c r="D48" s="51">
        <f>SUM(D42:D47)</f>
        <v>450</v>
      </c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</sheetData>
  <mergeCells count="12">
    <mergeCell ref="C17:D17"/>
    <mergeCell ref="C16:D16"/>
    <mergeCell ref="C18:D18"/>
    <mergeCell ref="B38:C38"/>
    <mergeCell ref="B39:C39"/>
    <mergeCell ref="B22:C22"/>
    <mergeCell ref="B23:C23"/>
    <mergeCell ref="B24:C24"/>
    <mergeCell ref="B25:C25"/>
    <mergeCell ref="B26:C26"/>
    <mergeCell ref="B27:C27"/>
    <mergeCell ref="B13:D15"/>
  </mergeCells>
  <dataValidations count="1">
    <dataValidation type="list" allowBlank="1" showInputMessage="1" showErrorMessage="1" sqref="D38" xr:uid="{39FB1325-3C67-47AE-9835-860CDDCF3AA8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FDA6-58FB-49A2-B0CC-E84E3D2CFF94}">
  <dimension ref="A2:D21"/>
  <sheetViews>
    <sheetView tabSelected="1" workbookViewId="0">
      <selection activeCell="D16" sqref="D16"/>
    </sheetView>
  </sheetViews>
  <sheetFormatPr defaultRowHeight="15" x14ac:dyDescent="0.25"/>
  <cols>
    <col min="1" max="1" width="30.7109375" bestFit="1" customWidth="1"/>
    <col min="2" max="2" width="12.140625" bestFit="1" customWidth="1"/>
    <col min="3" max="3" width="16.140625" bestFit="1" customWidth="1"/>
  </cols>
  <sheetData>
    <row r="2" spans="1:4" ht="15.75" thickBot="1" x14ac:dyDescent="0.3"/>
    <row r="3" spans="1:4" x14ac:dyDescent="0.25">
      <c r="A3" s="61" t="s">
        <v>27</v>
      </c>
      <c r="B3" s="62" t="s">
        <v>14</v>
      </c>
      <c r="C3" s="62" t="s">
        <v>25</v>
      </c>
      <c r="D3" s="63" t="s">
        <v>36</v>
      </c>
    </row>
    <row r="4" spans="1:4" x14ac:dyDescent="0.25">
      <c r="A4" s="56" t="s">
        <v>28</v>
      </c>
      <c r="B4" s="53" t="s">
        <v>26</v>
      </c>
      <c r="C4" s="53" t="s">
        <v>19</v>
      </c>
      <c r="D4" s="64">
        <v>0.3</v>
      </c>
    </row>
    <row r="5" spans="1:4" x14ac:dyDescent="0.25">
      <c r="A5" s="56" t="s">
        <v>29</v>
      </c>
      <c r="B5" s="53" t="s">
        <v>26</v>
      </c>
      <c r="C5" s="53" t="s">
        <v>20</v>
      </c>
      <c r="D5" s="64">
        <v>0.5</v>
      </c>
    </row>
    <row r="6" spans="1:4" x14ac:dyDescent="0.25">
      <c r="A6" s="56" t="s">
        <v>30</v>
      </c>
      <c r="B6" s="53" t="s">
        <v>26</v>
      </c>
      <c r="C6" s="53" t="s">
        <v>21</v>
      </c>
      <c r="D6" s="64">
        <v>0.1</v>
      </c>
    </row>
    <row r="7" spans="1:4" x14ac:dyDescent="0.25">
      <c r="A7" s="56" t="s">
        <v>31</v>
      </c>
      <c r="B7" s="53" t="s">
        <v>26</v>
      </c>
      <c r="C7" s="53" t="s">
        <v>22</v>
      </c>
      <c r="D7" s="64">
        <v>0.1</v>
      </c>
    </row>
    <row r="8" spans="1:4" x14ac:dyDescent="0.25">
      <c r="A8" s="56" t="s">
        <v>32</v>
      </c>
      <c r="B8" s="53" t="s">
        <v>26</v>
      </c>
      <c r="C8" s="53" t="s">
        <v>23</v>
      </c>
      <c r="D8" s="64">
        <v>0</v>
      </c>
    </row>
    <row r="9" spans="1:4" ht="15.75" thickBot="1" x14ac:dyDescent="0.3">
      <c r="A9" s="57" t="s">
        <v>33</v>
      </c>
      <c r="B9" s="54" t="s">
        <v>26</v>
      </c>
      <c r="C9" s="54" t="s">
        <v>24</v>
      </c>
      <c r="D9" s="65">
        <v>0</v>
      </c>
    </row>
    <row r="10" spans="1:4" ht="15.75" thickTop="1" x14ac:dyDescent="0.25">
      <c r="A10" s="58" t="str">
        <f>B10&amp;"-"&amp;C10</f>
        <v>Moderado-Papel</v>
      </c>
      <c r="B10" s="55" t="s">
        <v>34</v>
      </c>
      <c r="C10" s="55" t="s">
        <v>19</v>
      </c>
      <c r="D10" s="66">
        <v>0.32</v>
      </c>
    </row>
    <row r="11" spans="1:4" x14ac:dyDescent="0.25">
      <c r="A11" s="56" t="str">
        <f t="shared" ref="A11:A21" si="0">B11&amp;"-"&amp;C11</f>
        <v>Moderado-Tijolo</v>
      </c>
      <c r="B11" s="53" t="s">
        <v>34</v>
      </c>
      <c r="C11" s="53" t="s">
        <v>20</v>
      </c>
      <c r="D11" s="67">
        <v>0.4</v>
      </c>
    </row>
    <row r="12" spans="1:4" x14ac:dyDescent="0.25">
      <c r="A12" s="56" t="str">
        <f t="shared" si="0"/>
        <v>Moderado-Híbridos</v>
      </c>
      <c r="B12" s="53" t="s">
        <v>34</v>
      </c>
      <c r="C12" s="53" t="s">
        <v>21</v>
      </c>
      <c r="D12" s="67">
        <v>0.08</v>
      </c>
    </row>
    <row r="13" spans="1:4" x14ac:dyDescent="0.25">
      <c r="A13" s="56" t="str">
        <f t="shared" si="0"/>
        <v>Moderado-FOFs</v>
      </c>
      <c r="B13" s="53" t="s">
        <v>34</v>
      </c>
      <c r="C13" s="53" t="s">
        <v>22</v>
      </c>
      <c r="D13" s="67">
        <v>0.1</v>
      </c>
    </row>
    <row r="14" spans="1:4" x14ac:dyDescent="0.25">
      <c r="A14" s="56" t="str">
        <f t="shared" si="0"/>
        <v>Moderado-Desenvolvimento</v>
      </c>
      <c r="B14" s="53" t="s">
        <v>34</v>
      </c>
      <c r="C14" s="53" t="s">
        <v>23</v>
      </c>
      <c r="D14" s="67">
        <v>0.05</v>
      </c>
    </row>
    <row r="15" spans="1:4" ht="15.75" thickBot="1" x14ac:dyDescent="0.3">
      <c r="A15" s="57" t="str">
        <f t="shared" si="0"/>
        <v xml:space="preserve">Moderado-Hotelarias </v>
      </c>
      <c r="B15" s="54" t="s">
        <v>34</v>
      </c>
      <c r="C15" s="54" t="s">
        <v>24</v>
      </c>
      <c r="D15" s="68">
        <v>0.05</v>
      </c>
    </row>
    <row r="16" spans="1:4" ht="15.75" thickTop="1" x14ac:dyDescent="0.25">
      <c r="A16" s="56" t="str">
        <f t="shared" si="0"/>
        <v>Agressivo-Papel</v>
      </c>
      <c r="B16" s="53" t="s">
        <v>35</v>
      </c>
      <c r="C16" s="53" t="s">
        <v>19</v>
      </c>
      <c r="D16" s="67">
        <v>0.5</v>
      </c>
    </row>
    <row r="17" spans="1:4" x14ac:dyDescent="0.25">
      <c r="A17" s="56" t="str">
        <f t="shared" si="0"/>
        <v>Agressivo-Tijolo</v>
      </c>
      <c r="B17" s="53" t="s">
        <v>35</v>
      </c>
      <c r="C17" s="53" t="s">
        <v>20</v>
      </c>
      <c r="D17" s="67">
        <v>0.1</v>
      </c>
    </row>
    <row r="18" spans="1:4" x14ac:dyDescent="0.25">
      <c r="A18" s="56" t="str">
        <f t="shared" si="0"/>
        <v>Agressivo-Híbridos</v>
      </c>
      <c r="B18" s="53" t="s">
        <v>35</v>
      </c>
      <c r="C18" s="53" t="s">
        <v>21</v>
      </c>
      <c r="D18" s="67">
        <v>0.05</v>
      </c>
    </row>
    <row r="19" spans="1:4" x14ac:dyDescent="0.25">
      <c r="A19" s="56" t="str">
        <f t="shared" si="0"/>
        <v>Agressivo-FOFs</v>
      </c>
      <c r="B19" s="53" t="s">
        <v>35</v>
      </c>
      <c r="C19" s="53" t="s">
        <v>22</v>
      </c>
      <c r="D19" s="67">
        <v>0.05</v>
      </c>
    </row>
    <row r="20" spans="1:4" x14ac:dyDescent="0.25">
      <c r="A20" s="56" t="str">
        <f t="shared" si="0"/>
        <v>Agressivo-Desenvolvimento</v>
      </c>
      <c r="B20" s="53" t="s">
        <v>35</v>
      </c>
      <c r="C20" s="53" t="s">
        <v>23</v>
      </c>
      <c r="D20" s="67">
        <v>0.2</v>
      </c>
    </row>
    <row r="21" spans="1:4" ht="15.75" thickBot="1" x14ac:dyDescent="0.3">
      <c r="A21" s="59" t="str">
        <f t="shared" si="0"/>
        <v xml:space="preserve">Agressivo-Hotelarias </v>
      </c>
      <c r="B21" s="60" t="s">
        <v>35</v>
      </c>
      <c r="C21" s="60" t="s">
        <v>24</v>
      </c>
      <c r="D21" s="69">
        <v>0.1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Carteira</vt:lpstr>
      <vt:lpstr>Banco de dados</vt:lpstr>
      <vt:lpstr>aporte</vt:lpstr>
      <vt:lpstr>redimento_carteira</vt:lpstr>
      <vt:lpstr>salario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CORDEIRO ANDRADE DOS SANTOS (EXTERNAL)</dc:creator>
  <cp:lastModifiedBy>CHRISTIAN CORDEIRO ANDRADE DOS SANTOS (EXTERNAL)</cp:lastModifiedBy>
  <dcterms:created xsi:type="dcterms:W3CDTF">2026-01-13T11:24:27Z</dcterms:created>
  <dcterms:modified xsi:type="dcterms:W3CDTF">2026-01-13T17:32:55Z</dcterms:modified>
</cp:coreProperties>
</file>