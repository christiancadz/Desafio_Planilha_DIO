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G52918\Downloads\"/>
    </mc:Choice>
  </mc:AlternateContent>
  <xr:revisionPtr revIDLastSave="0" documentId="13_ncr:1_{16ABAA19-32FC-4BED-A287-4E1A10BFD07B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8"/>
  <pivotCaches>
    <pivotCache cacheId="19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3" l="1"/>
  <c r="A32" i="3"/>
  <c r="A36" i="3"/>
  <c r="A40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<sst xmlns="http://schemas.openxmlformats.org/spreadsheetml/2006/main" count="2022" uniqueCount="324">
  <si>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</si>
  <si>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</si>
  <si>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</si>
  <si>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</si>
  <si>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</si>
  <si>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</si>
  <si>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</si>
  <si>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</si>
  <si>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</si>
  <si>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</si>
  <si>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</si>
  <si>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</si>
  <si>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</si>
  <si>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</si>
  <si>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</si>
  <si>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</si>
  <si>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</si>
  <si>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</si>
  <si>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</si>
  <si>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</si>
  <si>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</si>
  <si>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</si>
  <si>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</si>
  <si>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</si>
  <si>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</si>
  <si>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</si>
  <si>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</si>
  <si>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</si>
  <si>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</si>
  <si>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</si>
  <si>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</si>
  <si>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</si>
  <si>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</si>
  <si>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</si>
  <si>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</si>
  <si>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</si>
  <si>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</si>
  <si>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</si>
  <si>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</si>
  <si>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</si>
  <si>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</si>
  <si>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</si>
  <si>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</si>
  <si>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</si>
  <si>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</si>
  <si>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</si>
  <si>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</si>
  <si>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</si>
  <si>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</si>
  <si>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</si>
  <si>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</si>
  <si>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</si>
  <si>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</si>
  <si>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</si>
  <si>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</si>
  <si>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</si>
  <si>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</si>
  <si>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</si>
  <si>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</si>
  <si>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</si>
  <si>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</si>
  <si>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</si>
  <si>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</si>
  <si>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</si>
  <si>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</si>
  <si>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</si>
  <si>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</si>
  <si>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</si>
  <si>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</si>
  <si>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</si>
  <si>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</si>
  <si>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</si>
  <si>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</si>
  <si>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</si>
  <si>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</si>
  <si>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</si>
  <si>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</si>
  <si>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</si>
  <si>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</si>
  <si>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</si>
  <si>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</si>
  <si>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</si>
  <si>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</si>
  <si>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</si>
  <si>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</si>
  <si>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</si>
  <si>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</si>
  <si>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</si>
  <si>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</si>
  <si>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</si>
  <si>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</si>
  <si>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</si>
  <si>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</si>
  <si>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</si>
  <si>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</si>
  <si>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</si>
  <si>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</si>
  <si>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</si>
  <si>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</si>
  <si>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</si>
  <si>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</si>
  <si>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</si>
  <si>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</si>
  <si>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</si>
  <si>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</si>
  <si>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</si>
  <si>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</si>
  <si>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</si>
  <si>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</si>
  <si>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</si>
  <si>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</si>
  <si>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</si>
  <si>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</si>
  <si>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</si>
  <si>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</si>
  <si>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</si>
  <si>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</si>
  <si>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</si>
  <si>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</si>
  <si>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</si>
  <si>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</si>
  <si>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</si>
  <si>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</si>
  <si>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</si>
  <si>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</si>
  <si>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</si>
  <si>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</si>
  <si>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</si>
  <si>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</si>
  <si>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</si>
  <si>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</si>
  <si>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</si>
  <si>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</si>
  <si>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</si>
  <si>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</si>
  <si>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</si>
  <si>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</si>
  <si>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</si>
  <si>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</si>
  <si>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</si>
  <si>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</si>
  <si>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</si>
  <si>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</si>
  <si>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</si>
  <si>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</si>
  <si>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</si>
  <si>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</si>
  <si>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</si>
  <si>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</si>
  <si>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</si>
  <si>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</si>
  <si>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</si>
  <si>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</si>
  <si>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</si>
  <si>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</si>
  <si>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</si>
  <si>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</si>
  <si>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</si>
  <si>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</si>
  <si>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</si>
  <si>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</si>
  <si>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</si>
  <si>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</si>
  <si>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</si>
  <si>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</si>
  <si>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</si>
  <si>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</si>
  <si>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</si>
  <si>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</si>
  <si>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</si>
  <si>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</si>
  <si>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</si>
  <si>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</si>
  <si>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</si>
  <si>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</si>
  <si>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</si>
  <si>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</si>
  <si>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</si>
  <si>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</si>
  <si>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</si>
  <si>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</si>
  <si>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</si>
  <si>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</si>
  <si>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</si>
  <si>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</si>
  <si>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</si>
  <si>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</si>
  <si>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</si>
  <si>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</si>
  <si>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</si>
  <si>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</si>
  <si>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</si>
  <si>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</si>
  <si>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</si>
  <si>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</si>
  <si>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</si>
  <si>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</si>
  <si>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</si>
  <si>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</si>
  <si>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</si>
  <si>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</si>
  <si>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</si>
  <si>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</si>
  <si>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</si>
  <si>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</si>
  <si>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</si>
  <si>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</si>
  <si>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</si>
  <si>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</si>
  <si>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</si>
  <si>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</si>
  <si>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</si>
  <si>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</si>
  <si>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</si>
  <si>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</si>
  <si>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</si>
  <si>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</si>
  <si>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</si>
  <si>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</si>
  <si>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</si>
  <si>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</si>
  <si>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</si>
  <si>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</si>
  <si>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</si>
  <si>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</si>
  <si>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</si>
  <si>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</si>
  <si>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</si>
  <si>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</si>
  <si>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</si>
  <si>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</si>
  <si>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</si>
  <si>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</si>
  <si>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</si>
  <si>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</si>
  <si>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</si>
  <si>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</si>
  <si>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</si>
  <si>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</si>
  <si>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</si>
  <si>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</si>
  <si>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</si>
  <si>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</si>
  <si>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</si>
  <si>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</si>
  <si>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</si>
  <si>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</si>
  <si>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</si>
  <si>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</si>
  <si>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</si>
  <si>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</si>
  <si>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</si>
  <si>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</si>
  <si>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</si>
  <si>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</si>
  <si>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</si>
  <si>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</si>
  <si>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</si>
  <si>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</si>
  <si>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</si>
  <si>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</si>
  <si>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</si>
  <si>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</si>
  <si>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</si>
  <si>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</si>
  <si>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</si>
  <si>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</si>
  <si>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</si>
  <si>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</si>
  <si>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</si>
  <si>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</si>
  <si>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</si>
  <si>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</si>
  <si>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</si>
  <si>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</si>
  <si>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</si>
  <si>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</si>
  <si>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</si>
  <si>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</si>
  <si>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</si>
  <si>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</si>
  <si>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</si>
  <si>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</si>
  <si>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</si>
  <si>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</si>
  <si>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</si>
  <si>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</si>
  <si>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</si>
  <si>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</si>
  <si>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</si>
  <si>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</si>
  <si>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</si>
  <si>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</si>
  <si>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</si>
  <si>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</si>
  <si>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</si>
  <si>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</si>
  <si>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</si>
  <si>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</si>
  <si>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</si>
  <si>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</si>
  <si>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</si>
  <si>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</si>
  <si>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</si>
  <si>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</si>
  <si>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</si>
  <si>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</si>
  <si>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</si>
  <si>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</si>
  <si>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</si>
  <si>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</si>
  <si>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</si>
  <si>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</si>
  <si>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</si>
  <si>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Rótulos de Linha</t>
  </si>
  <si>
    <t>Total Geral</t>
  </si>
  <si>
    <t>(Tudo)</t>
  </si>
  <si>
    <t>Pergunta 2 - Qual o faturamento total de vendas de renovações automaticas e não automáticas?</t>
  </si>
  <si>
    <t>Pergunta 1 - Qual o faturamento total de vendas de planos anuais?</t>
  </si>
  <si>
    <t>XBOX GAME PASS SUBSCRIPTION SALES</t>
  </si>
  <si>
    <t>Soma de EA Play Season Pass</t>
  </si>
  <si>
    <t>Pergunta 4 - Total de assinaturas do Minecraft Season Pass</t>
  </si>
  <si>
    <t>Contagem de Minecraft Season Pass</t>
  </si>
  <si>
    <t>Calculated period: 01/01/2024 - 31/12/2024 | Update date: 16/01/2025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</si>
</sst>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11"/>
      <color rgb="FFFF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4" borderId="0" xfId="0" applyFont="1" applyFill="1" applyAlignment="1">
      <alignment horizontal="left" vertical="center"/>
    </xf>
    <xf numFmtId="165" fontId="0" fillId="0" borderId="0" xfId="0" applyNumberFormat="1"/>
    <xf numFmtId="0" fontId="4" fillId="7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2C5C0A57-8C09-4E01-B005-01C31C280B15}">
      <tableStyleElement type="wholeTable" dxfId="1"/>
      <tableStyleElement type="headerRow" dxfId="0"/>
    </tableStyle>
  </tableStyles>
  <colors>
    <mruColors>
      <color rgb="FFE8E6E9"/>
      <color rgb="FF9BC848"/>
      <color rgb="FF5BF6A8"/>
      <color rgb="FF2AE6B1"/>
      <color rgb="FF22C55E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1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C̳álculos!$B$13:$B$16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C̳álculos!$C$13:$C$16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3-41C4-88DF-D586F6174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3138008"/>
        <c:axId val="583138728"/>
      </c:barChart>
      <c:catAx>
        <c:axId val="583138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3138728"/>
        <c:crosses val="autoZero"/>
        <c:auto val="1"/>
        <c:lblAlgn val="ctr"/>
        <c:lblOffset val="100"/>
        <c:noMultiLvlLbl val="0"/>
      </c:catAx>
      <c:valAx>
        <c:axId val="583138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3138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9BC84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9BC84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C̳álculos!$B$28:$B$31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C̳álculos!$C$28:$C$31</c:f>
              <c:numCache>
                <c:formatCode>General</c:formatCode>
                <c:ptCount val="3"/>
                <c:pt idx="0">
                  <c:v>600</c:v>
                </c:pt>
                <c:pt idx="1">
                  <c:v>1350</c:v>
                </c:pt>
                <c:pt idx="2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6-487E-BAB9-BECB7D5C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7333608"/>
        <c:axId val="577333968"/>
      </c:barChart>
      <c:catAx>
        <c:axId val="577333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7333968"/>
        <c:crosses val="autoZero"/>
        <c:auto val="1"/>
        <c:lblAlgn val="ctr"/>
        <c:lblOffset val="100"/>
        <c:noMultiLvlLbl val="0"/>
      </c:catAx>
      <c:valAx>
        <c:axId val="5773339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7333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462371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361950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19050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130251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266700</xdr:colOff>
      <xdr:row>10</xdr:row>
      <xdr:rowOff>144780</xdr:rowOff>
    </xdr:from>
    <xdr:to>
      <xdr:col>6</xdr:col>
      <xdr:colOff>129540</xdr:colOff>
      <xdr:row>20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DC0DF5-2C36-94D7-21D7-6B63A423D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0</xdr:row>
      <xdr:rowOff>180975</xdr:rowOff>
    </xdr:from>
    <xdr:to>
      <xdr:col>0</xdr:col>
      <xdr:colOff>1619250</xdr:colOff>
      <xdr:row>0</xdr:row>
      <xdr:rowOff>714375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F19086-8F3F-45ED-BC53-35AB465EA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975"/>
          <a:ext cx="1371600" cy="533400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</xdr:row>
      <xdr:rowOff>209550</xdr:rowOff>
    </xdr:from>
    <xdr:to>
      <xdr:col>17</xdr:col>
      <xdr:colOff>66675</xdr:colOff>
      <xdr:row>19</xdr:row>
      <xdr:rowOff>76200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7500256-9CA7-810E-8866-DC10FBA8092B}"/>
            </a:ext>
          </a:extLst>
        </xdr:cNvPr>
        <xdr:cNvGrpSpPr/>
      </xdr:nvGrpSpPr>
      <xdr:grpSpPr>
        <a:xfrm>
          <a:off x="7934325" y="1409700"/>
          <a:ext cx="5324475" cy="3219450"/>
          <a:chOff x="7934325" y="1085850"/>
          <a:chExt cx="5324475" cy="3219450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E67F5C84-92F2-DEB4-0372-6C8BC9ADFEAA}"/>
              </a:ext>
            </a:extLst>
          </xdr:cNvPr>
          <xdr:cNvSpPr/>
        </xdr:nvSpPr>
        <xdr:spPr>
          <a:xfrm>
            <a:off x="7934325" y="1085850"/>
            <a:ext cx="5324475" cy="321945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5268755F-1BAE-4BA4-BC65-108C5CB76460}"/>
              </a:ext>
            </a:extLst>
          </xdr:cNvPr>
          <xdr:cNvGraphicFramePr>
            <a:graphicFrameLocks/>
          </xdr:cNvGraphicFramePr>
        </xdr:nvGraphicFramePr>
        <xdr:xfrm>
          <a:off x="8181975" y="1181099"/>
          <a:ext cx="4848225" cy="29622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0</xdr:colOff>
      <xdr:row>2</xdr:row>
      <xdr:rowOff>247651</xdr:rowOff>
    </xdr:from>
    <xdr:to>
      <xdr:col>0</xdr:col>
      <xdr:colOff>1828800</xdr:colOff>
      <xdr:row>7</xdr:row>
      <xdr:rowOff>333376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Auto Renewal">
              <a:extLst>
                <a:ext uri="{FF2B5EF4-FFF2-40B4-BE49-F238E27FC236}">
                  <a16:creationId xmlns:a16="http://schemas.microsoft.com/office/drawing/2014/main" id="{08D5E095-2AC7-4811-B521-9894B0F81B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7801"/>
              <a:ext cx="182880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2</xdr:row>
      <xdr:rowOff>190500</xdr:rowOff>
    </xdr:from>
    <xdr:to>
      <xdr:col>6</xdr:col>
      <xdr:colOff>466725</xdr:colOff>
      <xdr:row>19</xdr:row>
      <xdr:rowOff>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B68BEA4-7B2A-12DA-909D-9F9017A46303}"/>
            </a:ext>
          </a:extLst>
        </xdr:cNvPr>
        <xdr:cNvGrpSpPr/>
      </xdr:nvGrpSpPr>
      <xdr:grpSpPr>
        <a:xfrm>
          <a:off x="2124075" y="1390650"/>
          <a:ext cx="4991100" cy="3162300"/>
          <a:chOff x="2124075" y="1066800"/>
          <a:chExt cx="4991100" cy="316230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E66E8C0F-D3D6-9E02-F707-73F5F679D51B}"/>
              </a:ext>
            </a:extLst>
          </xdr:cNvPr>
          <xdr:cNvSpPr/>
        </xdr:nvSpPr>
        <xdr:spPr>
          <a:xfrm>
            <a:off x="2124075" y="1066800"/>
            <a:ext cx="4991100" cy="316230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A28">
        <xdr:nvSpPr>
          <xdr:cNvPr id="9" name="Retângulo 8">
            <a:extLst>
              <a:ext uri="{FF2B5EF4-FFF2-40B4-BE49-F238E27FC236}">
                <a16:creationId xmlns:a16="http://schemas.microsoft.com/office/drawing/2014/main" id="{853421A0-AE6B-BCDB-B856-E8FDA4E0A053}"/>
              </a:ext>
            </a:extLst>
          </xdr:cNvPr>
          <xdr:cNvSpPr/>
        </xdr:nvSpPr>
        <xdr:spPr>
          <a:xfrm>
            <a:off x="5457825" y="1619249"/>
            <a:ext cx="885825" cy="123825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A75C7DBF-2418-468F-B42B-780E3308EC77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R$ 600,00</a:t>
            </a:fld>
            <a:endParaRPr lang="pt-BR" sz="1100"/>
          </a:p>
        </xdr:txBody>
      </xdr:sp>
      <xdr:sp macro="" textlink="C̳álculos!A40">
        <xdr:nvSpPr>
          <xdr:cNvPr id="10" name="Retângulo 9">
            <a:extLst>
              <a:ext uri="{FF2B5EF4-FFF2-40B4-BE49-F238E27FC236}">
                <a16:creationId xmlns:a16="http://schemas.microsoft.com/office/drawing/2014/main" id="{5AC6A829-130A-4E0B-BCF1-FE12632C5022}"/>
              </a:ext>
            </a:extLst>
          </xdr:cNvPr>
          <xdr:cNvSpPr/>
        </xdr:nvSpPr>
        <xdr:spPr>
          <a:xfrm>
            <a:off x="4924425" y="3352800"/>
            <a:ext cx="1857375" cy="752475"/>
          </a:xfrm>
          <a:prstGeom prst="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6F270797-DDF5-49DC-BF35-95A67290D20A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R$ 2.940,00</a:t>
            </a:fld>
            <a:endParaRPr lang="pt-BR" sz="1100"/>
          </a:p>
        </xdr:txBody>
      </xdr:sp>
      <xdr:sp macro="" textlink="C̳álculos!A36">
        <xdr:nvSpPr>
          <xdr:cNvPr id="11" name="Retângulo 10">
            <a:extLst>
              <a:ext uri="{FF2B5EF4-FFF2-40B4-BE49-F238E27FC236}">
                <a16:creationId xmlns:a16="http://schemas.microsoft.com/office/drawing/2014/main" id="{1DA0112F-150E-4D43-AA14-AD33AA5E38F3}"/>
              </a:ext>
            </a:extLst>
          </xdr:cNvPr>
          <xdr:cNvSpPr/>
        </xdr:nvSpPr>
        <xdr:spPr>
          <a:xfrm>
            <a:off x="4972050" y="2571750"/>
            <a:ext cx="1857375" cy="752475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6AC8FB96-8F63-4051-8882-FFEAE7B77AC1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R$ 990,00</a:t>
            </a:fld>
            <a:endParaRPr lang="pt-BR" sz="1100"/>
          </a:p>
        </xdr:txBody>
      </xdr:sp>
      <xdr:sp macro="" textlink="C̳álculos!A32">
        <xdr:nvSpPr>
          <xdr:cNvPr id="12" name="Retângulo 11">
            <a:extLst>
              <a:ext uri="{FF2B5EF4-FFF2-40B4-BE49-F238E27FC236}">
                <a16:creationId xmlns:a16="http://schemas.microsoft.com/office/drawing/2014/main" id="{57B726E0-199A-4FF3-BA46-73E4D49965F5}"/>
              </a:ext>
            </a:extLst>
          </xdr:cNvPr>
          <xdr:cNvSpPr/>
        </xdr:nvSpPr>
        <xdr:spPr>
          <a:xfrm>
            <a:off x="4972050" y="1924050"/>
            <a:ext cx="1857375" cy="752475"/>
          </a:xfrm>
          <a:prstGeom prst="rect">
            <a:avLst/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CD7A0C78-BCF3-4E0A-9DDE-58D85FA04D6B}" type="TxLink">
              <a:rPr lang="en-US" sz="1100" b="0" i="0" u="none" strike="noStrike">
                <a:solidFill>
                  <a:srgbClr val="000000"/>
                </a:solidFill>
                <a:latin typeface="Aptos Narrow"/>
              </a:rPr>
              <a:pPr algn="ctr"/>
              <a:t>R$ 1.350,00</a:t>
            </a:fld>
            <a:endParaRPr lang="pt-BR" sz="1100"/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D0CA8A97-588F-4D0D-BFBF-A2BC5CC83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5" y="2028825"/>
            <a:ext cx="1219200" cy="1165860"/>
          </a:xfrm>
          <a:prstGeom prst="rect">
            <a:avLst/>
          </a:prstGeom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8A17C60C-93DB-79D2-9340-63F2FB2DEC95}"/>
              </a:ext>
            </a:extLst>
          </xdr:cNvPr>
          <xdr:cNvSpPr txBox="1"/>
        </xdr:nvSpPr>
        <xdr:spPr>
          <a:xfrm>
            <a:off x="3929063" y="1524000"/>
            <a:ext cx="885825" cy="3333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/>
              <a:t>Annual</a:t>
            </a:r>
          </a:p>
        </xdr:txBody>
      </xdr:sp>
      <xdr:sp macro="" textlink="">
        <xdr:nvSpPr>
          <xdr:cNvPr id="16" name="CaixaDeTexto 15">
            <a:extLst>
              <a:ext uri="{FF2B5EF4-FFF2-40B4-BE49-F238E27FC236}">
                <a16:creationId xmlns:a16="http://schemas.microsoft.com/office/drawing/2014/main" id="{0E7539DC-38E3-4728-8399-8496D1AABB50}"/>
              </a:ext>
            </a:extLst>
          </xdr:cNvPr>
          <xdr:cNvSpPr txBox="1"/>
        </xdr:nvSpPr>
        <xdr:spPr>
          <a:xfrm>
            <a:off x="3929063" y="2162175"/>
            <a:ext cx="885825" cy="3333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/>
              <a:t>Monthly</a:t>
            </a:r>
          </a:p>
        </xdr:txBody>
      </xdr:sp>
      <xdr:sp macro="" textlink="">
        <xdr:nvSpPr>
          <xdr:cNvPr id="17" name="CaixaDeTexto 16">
            <a:extLst>
              <a:ext uri="{FF2B5EF4-FFF2-40B4-BE49-F238E27FC236}">
                <a16:creationId xmlns:a16="http://schemas.microsoft.com/office/drawing/2014/main" id="{311AC6D4-4D2C-401C-A3CD-B15D725319A5}"/>
              </a:ext>
            </a:extLst>
          </xdr:cNvPr>
          <xdr:cNvSpPr txBox="1"/>
        </xdr:nvSpPr>
        <xdr:spPr>
          <a:xfrm>
            <a:off x="3929063" y="2762250"/>
            <a:ext cx="885825" cy="3333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/>
              <a:t>Quarterly</a:t>
            </a:r>
          </a:p>
        </xdr:txBody>
      </xdr:sp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4BCE2C6D-CFB9-44CC-AD3C-C690D3E3F8A6}"/>
              </a:ext>
            </a:extLst>
          </xdr:cNvPr>
          <xdr:cNvSpPr txBox="1"/>
        </xdr:nvSpPr>
        <xdr:spPr>
          <a:xfrm>
            <a:off x="3929063" y="3552825"/>
            <a:ext cx="885825" cy="3333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/>
              <a:t>TOTAL</a:t>
            </a:r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BF8B4494-EBAE-ADC3-85DD-EBBFEDA9BB57}"/>
              </a:ext>
            </a:extLst>
          </xdr:cNvPr>
          <xdr:cNvSpPr/>
        </xdr:nvSpPr>
        <xdr:spPr>
          <a:xfrm>
            <a:off x="2124075" y="1066800"/>
            <a:ext cx="4991100" cy="466725"/>
          </a:xfrm>
          <a:prstGeom prst="round2SameRect">
            <a:avLst>
              <a:gd name="adj1" fmla="val 50000"/>
              <a:gd name="adj2" fmla="val 0"/>
            </a:avLst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800" baseline="0">
                <a:latin typeface="Segoe UI" panose="020B0502040204020203" pitchFamily="34" charset="0"/>
                <a:cs typeface="Segoe UI" panose="020B0502040204020203" pitchFamily="34" charset="0"/>
              </a:rPr>
              <a:t> REVENUES FROM EA PLAY ACCESS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19050</xdr:colOff>
      <xdr:row>8</xdr:row>
      <xdr:rowOff>104775</xdr:rowOff>
    </xdr:from>
    <xdr:to>
      <xdr:col>0</xdr:col>
      <xdr:colOff>1847850</xdr:colOff>
      <xdr:row>22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8" name="Subscription Type">
              <a:extLst>
                <a:ext uri="{FF2B5EF4-FFF2-40B4-BE49-F238E27FC236}">
                  <a16:creationId xmlns:a16="http://schemas.microsoft.com/office/drawing/2014/main" id="{6D051FEA-0D8D-49C6-B0CC-B5009A0EC5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266700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IAN CORDEIRO ANDRADE DOS SANTOS" refreshedDate="46038.390078703706" createdVersion="8" refreshedVersion="8" minRefreshableVersion="3" recordCount="295" xr:uid="{9BCBF947-F17A-4F16-9ED5-7B79CE3D94A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423169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x v="0"/>
    <n v="20"/>
    <n v="5"/>
    <n v="60"/>
  </r>
  <r>
    <n v="3232"/>
    <x v="1"/>
    <x v="1"/>
    <d v="2024-01-15T00:00:00"/>
    <x v="1"/>
    <n v="5"/>
    <x v="1"/>
    <x v="1"/>
    <s v="-"/>
    <x v="1"/>
    <n v="0"/>
    <n v="0"/>
    <n v="5"/>
  </r>
  <r>
    <n v="3233"/>
    <x v="2"/>
    <x v="2"/>
    <d v="2024-02-10T00:00:00"/>
    <x v="0"/>
    <n v="10"/>
    <x v="2"/>
    <x v="1"/>
    <s v="-"/>
    <x v="0"/>
    <n v="20"/>
    <n v="10"/>
    <n v="20"/>
  </r>
  <r>
    <n v="3234"/>
    <x v="3"/>
    <x v="0"/>
    <d v="2024-02-20T00:00:00"/>
    <x v="1"/>
    <n v="15"/>
    <x v="0"/>
    <x v="0"/>
    <n v="30"/>
    <x v="0"/>
    <n v="20"/>
    <n v="3"/>
    <n v="62"/>
  </r>
  <r>
    <n v="3235"/>
    <x v="4"/>
    <x v="1"/>
    <d v="2024-03-05T00:00:00"/>
    <x v="0"/>
    <n v="5"/>
    <x v="0"/>
    <x v="1"/>
    <s v="-"/>
    <x v="1"/>
    <n v="0"/>
    <n v="1"/>
    <n v="4"/>
  </r>
  <r>
    <n v="3236"/>
    <x v="5"/>
    <x v="2"/>
    <d v="2024-03-02T00:00:00"/>
    <x v="1"/>
    <n v="10"/>
    <x v="0"/>
    <x v="1"/>
    <s v="-"/>
    <x v="0"/>
    <n v="20"/>
    <n v="2"/>
    <n v="28"/>
  </r>
  <r>
    <n v="3237"/>
    <x v="6"/>
    <x v="0"/>
    <d v="2024-03-03T00:00:00"/>
    <x v="0"/>
    <n v="15"/>
    <x v="2"/>
    <x v="0"/>
    <n v="30"/>
    <x v="0"/>
    <n v="20"/>
    <n v="10"/>
    <n v="55"/>
  </r>
  <r>
    <n v="3238"/>
    <x v="7"/>
    <x v="1"/>
    <d v="2024-03-04T00:00:00"/>
    <x v="0"/>
    <n v="5"/>
    <x v="1"/>
    <x v="1"/>
    <s v="-"/>
    <x v="1"/>
    <n v="0"/>
    <n v="0"/>
    <n v="5"/>
  </r>
  <r>
    <n v="3239"/>
    <x v="8"/>
    <x v="0"/>
    <d v="2024-03-05T00:00:00"/>
    <x v="1"/>
    <n v="15"/>
    <x v="0"/>
    <x v="0"/>
    <n v="30"/>
    <x v="0"/>
    <n v="20"/>
    <n v="5"/>
    <n v="60"/>
  </r>
  <r>
    <n v="3240"/>
    <x v="9"/>
    <x v="2"/>
    <d v="2024-03-06T00:00:00"/>
    <x v="0"/>
    <n v="10"/>
    <x v="2"/>
    <x v="1"/>
    <s v="-"/>
    <x v="0"/>
    <n v="20"/>
    <n v="15"/>
    <n v="15"/>
  </r>
  <r>
    <n v="3241"/>
    <x v="10"/>
    <x v="1"/>
    <d v="2024-03-07T00:00:00"/>
    <x v="1"/>
    <n v="5"/>
    <x v="0"/>
    <x v="1"/>
    <s v="-"/>
    <x v="1"/>
    <n v="0"/>
    <n v="1"/>
    <n v="4"/>
  </r>
  <r>
    <n v="3242"/>
    <x v="11"/>
    <x v="0"/>
    <d v="2024-03-08T00:00:00"/>
    <x v="0"/>
    <n v="15"/>
    <x v="1"/>
    <x v="0"/>
    <n v="30"/>
    <x v="0"/>
    <n v="20"/>
    <n v="20"/>
    <n v="45"/>
  </r>
  <r>
    <n v="3243"/>
    <x v="12"/>
    <x v="2"/>
    <d v="2024-03-09T00:00:00"/>
    <x v="1"/>
    <n v="10"/>
    <x v="0"/>
    <x v="1"/>
    <s v="-"/>
    <x v="0"/>
    <n v="20"/>
    <n v="10"/>
    <n v="20"/>
  </r>
  <r>
    <n v="3244"/>
    <x v="13"/>
    <x v="1"/>
    <d v="2024-03-10T00:00:00"/>
    <x v="0"/>
    <n v="5"/>
    <x v="2"/>
    <x v="1"/>
    <s v="-"/>
    <x v="1"/>
    <n v="0"/>
    <n v="0"/>
    <n v="5"/>
  </r>
  <r>
    <n v="3245"/>
    <x v="14"/>
    <x v="0"/>
    <d v="2024-03-11T00:00:00"/>
    <x v="1"/>
    <n v="15"/>
    <x v="0"/>
    <x v="0"/>
    <n v="30"/>
    <x v="0"/>
    <n v="20"/>
    <n v="8"/>
    <n v="57"/>
  </r>
  <r>
    <n v="3246"/>
    <x v="15"/>
    <x v="2"/>
    <d v="2024-03-12T00:00:00"/>
    <x v="0"/>
    <n v="10"/>
    <x v="1"/>
    <x v="1"/>
    <s v="-"/>
    <x v="0"/>
    <n v="20"/>
    <n v="12"/>
    <n v="18"/>
  </r>
  <r>
    <n v="3247"/>
    <x v="16"/>
    <x v="1"/>
    <d v="2024-03-13T00:00:00"/>
    <x v="1"/>
    <n v="5"/>
    <x v="0"/>
    <x v="1"/>
    <s v="-"/>
    <x v="1"/>
    <n v="0"/>
    <n v="2"/>
    <n v="3"/>
  </r>
  <r>
    <n v="3248"/>
    <x v="17"/>
    <x v="0"/>
    <d v="2024-03-14T00:00:00"/>
    <x v="0"/>
    <n v="15"/>
    <x v="2"/>
    <x v="0"/>
    <n v="30"/>
    <x v="0"/>
    <n v="20"/>
    <n v="7"/>
    <n v="58"/>
  </r>
  <r>
    <n v="3249"/>
    <x v="18"/>
    <x v="2"/>
    <d v="2024-03-15T00:00:00"/>
    <x v="1"/>
    <n v="10"/>
    <x v="0"/>
    <x v="1"/>
    <s v="-"/>
    <x v="0"/>
    <n v="20"/>
    <n v="5"/>
    <n v="25"/>
  </r>
  <r>
    <n v="3250"/>
    <x v="19"/>
    <x v="1"/>
    <d v="2024-03-16T00:00:00"/>
    <x v="0"/>
    <n v="5"/>
    <x v="1"/>
    <x v="1"/>
    <s v="-"/>
    <x v="1"/>
    <n v="0"/>
    <n v="0"/>
    <n v="5"/>
  </r>
  <r>
    <n v="3251"/>
    <x v="20"/>
    <x v="0"/>
    <d v="2024-03-17T00:00:00"/>
    <x v="1"/>
    <n v="15"/>
    <x v="0"/>
    <x v="0"/>
    <n v="30"/>
    <x v="0"/>
    <n v="20"/>
    <n v="3"/>
    <n v="62"/>
  </r>
  <r>
    <n v="3252"/>
    <x v="21"/>
    <x v="2"/>
    <d v="2024-03-18T00:00:00"/>
    <x v="0"/>
    <n v="10"/>
    <x v="2"/>
    <x v="1"/>
    <s v="-"/>
    <x v="0"/>
    <n v="20"/>
    <n v="15"/>
    <n v="15"/>
  </r>
  <r>
    <n v="3253"/>
    <x v="22"/>
    <x v="1"/>
    <d v="2024-03-19T00:00:00"/>
    <x v="1"/>
    <n v="5"/>
    <x v="0"/>
    <x v="1"/>
    <s v="-"/>
    <x v="1"/>
    <n v="0"/>
    <n v="1"/>
    <n v="4"/>
  </r>
  <r>
    <n v="3254"/>
    <x v="23"/>
    <x v="0"/>
    <d v="2024-03-20T00:00:00"/>
    <x v="0"/>
    <n v="15"/>
    <x v="1"/>
    <x v="0"/>
    <n v="30"/>
    <x v="0"/>
    <n v="20"/>
    <n v="20"/>
    <n v="45"/>
  </r>
  <r>
    <n v="3255"/>
    <x v="24"/>
    <x v="2"/>
    <d v="2024-03-21T00:00:00"/>
    <x v="1"/>
    <n v="10"/>
    <x v="0"/>
    <x v="1"/>
    <s v="-"/>
    <x v="0"/>
    <n v="20"/>
    <n v="10"/>
    <n v="20"/>
  </r>
  <r>
    <n v="3256"/>
    <x v="25"/>
    <x v="1"/>
    <d v="2024-03-22T00:00:00"/>
    <x v="0"/>
    <n v="5"/>
    <x v="2"/>
    <x v="1"/>
    <s v="-"/>
    <x v="1"/>
    <n v="0"/>
    <n v="0"/>
    <n v="5"/>
  </r>
  <r>
    <n v="3257"/>
    <x v="26"/>
    <x v="0"/>
    <d v="2024-03-23T00:00:00"/>
    <x v="1"/>
    <n v="15"/>
    <x v="0"/>
    <x v="0"/>
    <n v="30"/>
    <x v="0"/>
    <n v="20"/>
    <n v="5"/>
    <n v="60"/>
  </r>
  <r>
    <n v="3258"/>
    <x v="27"/>
    <x v="2"/>
    <d v="2024-03-24T00:00:00"/>
    <x v="0"/>
    <n v="10"/>
    <x v="1"/>
    <x v="1"/>
    <s v="-"/>
    <x v="0"/>
    <n v="20"/>
    <n v="15"/>
    <n v="15"/>
  </r>
  <r>
    <n v="3259"/>
    <x v="28"/>
    <x v="1"/>
    <d v="2024-03-25T00:00:00"/>
    <x v="1"/>
    <n v="5"/>
    <x v="0"/>
    <x v="1"/>
    <s v="-"/>
    <x v="1"/>
    <n v="0"/>
    <n v="1"/>
    <n v="4"/>
  </r>
  <r>
    <n v="3260"/>
    <x v="29"/>
    <x v="0"/>
    <d v="2024-03-26T00:00:00"/>
    <x v="0"/>
    <n v="15"/>
    <x v="2"/>
    <x v="0"/>
    <n v="30"/>
    <x v="0"/>
    <n v="20"/>
    <n v="7"/>
    <n v="58"/>
  </r>
  <r>
    <n v="3261"/>
    <x v="30"/>
    <x v="2"/>
    <d v="2024-03-27T00:00:00"/>
    <x v="1"/>
    <n v="10"/>
    <x v="0"/>
    <x v="1"/>
    <s v="-"/>
    <x v="0"/>
    <n v="20"/>
    <n v="10"/>
    <n v="20"/>
  </r>
  <r>
    <n v="3262"/>
    <x v="31"/>
    <x v="1"/>
    <d v="2024-03-28T00:00:00"/>
    <x v="0"/>
    <n v="5"/>
    <x v="1"/>
    <x v="1"/>
    <s v="-"/>
    <x v="1"/>
    <n v="0"/>
    <n v="0"/>
    <n v="5"/>
  </r>
  <r>
    <n v="3263"/>
    <x v="32"/>
    <x v="0"/>
    <d v="2024-03-29T00:00:00"/>
    <x v="1"/>
    <n v="15"/>
    <x v="0"/>
    <x v="0"/>
    <n v="30"/>
    <x v="0"/>
    <n v="20"/>
    <n v="3"/>
    <n v="62"/>
  </r>
  <r>
    <n v="3264"/>
    <x v="33"/>
    <x v="2"/>
    <d v="2024-03-30T00:00:00"/>
    <x v="0"/>
    <n v="10"/>
    <x v="2"/>
    <x v="1"/>
    <s v="-"/>
    <x v="0"/>
    <n v="20"/>
    <n v="15"/>
    <n v="15"/>
  </r>
  <r>
    <n v="3265"/>
    <x v="34"/>
    <x v="1"/>
    <d v="2024-03-31T00:00:00"/>
    <x v="1"/>
    <n v="5"/>
    <x v="0"/>
    <x v="1"/>
    <s v="-"/>
    <x v="1"/>
    <n v="0"/>
    <n v="1"/>
    <n v="4"/>
  </r>
  <r>
    <n v="3266"/>
    <x v="35"/>
    <x v="1"/>
    <d v="2024-04-01T00:00:00"/>
    <x v="0"/>
    <n v="5"/>
    <x v="0"/>
    <x v="1"/>
    <s v="-"/>
    <x v="1"/>
    <n v="0"/>
    <n v="0"/>
    <n v="5"/>
  </r>
  <r>
    <n v="3267"/>
    <x v="36"/>
    <x v="0"/>
    <d v="2024-04-02T00:00:00"/>
    <x v="1"/>
    <n v="15"/>
    <x v="2"/>
    <x v="0"/>
    <n v="30"/>
    <x v="0"/>
    <n v="20"/>
    <n v="7"/>
    <n v="58"/>
  </r>
  <r>
    <n v="3268"/>
    <x v="37"/>
    <x v="2"/>
    <d v="2024-04-03T00:00:00"/>
    <x v="0"/>
    <n v="10"/>
    <x v="1"/>
    <x v="1"/>
    <s v="-"/>
    <x v="0"/>
    <n v="20"/>
    <n v="10"/>
    <n v="20"/>
  </r>
  <r>
    <n v="3269"/>
    <x v="38"/>
    <x v="1"/>
    <d v="2024-04-04T00:00:00"/>
    <x v="1"/>
    <n v="5"/>
    <x v="2"/>
    <x v="1"/>
    <s v="-"/>
    <x v="1"/>
    <n v="0"/>
    <n v="1"/>
    <n v="4"/>
  </r>
  <r>
    <n v="3270"/>
    <x v="39"/>
    <x v="0"/>
    <d v="2024-04-05T00:00:00"/>
    <x v="0"/>
    <n v="15"/>
    <x v="0"/>
    <x v="0"/>
    <n v="30"/>
    <x v="0"/>
    <n v="20"/>
    <n v="15"/>
    <n v="50"/>
  </r>
  <r>
    <n v="3271"/>
    <x v="40"/>
    <x v="2"/>
    <d v="2024-04-06T00:00:00"/>
    <x v="1"/>
    <n v="10"/>
    <x v="0"/>
    <x v="1"/>
    <s v="-"/>
    <x v="0"/>
    <n v="20"/>
    <n v="5"/>
    <n v="25"/>
  </r>
  <r>
    <n v="3272"/>
    <x v="41"/>
    <x v="1"/>
    <d v="2024-04-07T00:00:00"/>
    <x v="0"/>
    <n v="5"/>
    <x v="1"/>
    <x v="1"/>
    <s v="-"/>
    <x v="1"/>
    <n v="0"/>
    <n v="0"/>
    <n v="5"/>
  </r>
  <r>
    <n v="3273"/>
    <x v="42"/>
    <x v="0"/>
    <d v="2024-04-08T00:00:00"/>
    <x v="1"/>
    <n v="15"/>
    <x v="2"/>
    <x v="0"/>
    <n v="30"/>
    <x v="0"/>
    <n v="20"/>
    <n v="20"/>
    <n v="45"/>
  </r>
  <r>
    <n v="3274"/>
    <x v="43"/>
    <x v="2"/>
    <d v="2024-04-09T00:00:00"/>
    <x v="0"/>
    <n v="10"/>
    <x v="2"/>
    <x v="1"/>
    <s v="-"/>
    <x v="0"/>
    <n v="20"/>
    <n v="12"/>
    <n v="18"/>
  </r>
  <r>
    <n v="3275"/>
    <x v="44"/>
    <x v="1"/>
    <d v="2024-04-10T00:00:00"/>
    <x v="1"/>
    <n v="5"/>
    <x v="0"/>
    <x v="1"/>
    <s v="-"/>
    <x v="1"/>
    <n v="0"/>
    <n v="2"/>
    <n v="3"/>
  </r>
  <r>
    <n v="3276"/>
    <x v="45"/>
    <x v="0"/>
    <d v="2024-04-11T00:00:00"/>
    <x v="0"/>
    <n v="15"/>
    <x v="1"/>
    <x v="0"/>
    <n v="30"/>
    <x v="0"/>
    <n v="20"/>
    <n v="5"/>
    <n v="60"/>
  </r>
  <r>
    <n v="3277"/>
    <x v="46"/>
    <x v="2"/>
    <d v="2024-04-12T00:00:00"/>
    <x v="1"/>
    <n v="10"/>
    <x v="0"/>
    <x v="1"/>
    <s v="-"/>
    <x v="0"/>
    <n v="20"/>
    <n v="10"/>
    <n v="20"/>
  </r>
  <r>
    <n v="3278"/>
    <x v="47"/>
    <x v="1"/>
    <d v="2024-04-13T00:00:00"/>
    <x v="0"/>
    <n v="5"/>
    <x v="2"/>
    <x v="1"/>
    <s v="-"/>
    <x v="1"/>
    <n v="0"/>
    <n v="0"/>
    <n v="5"/>
  </r>
  <r>
    <n v="3279"/>
    <x v="48"/>
    <x v="0"/>
    <d v="2024-04-14T00:00:00"/>
    <x v="1"/>
    <n v="15"/>
    <x v="0"/>
    <x v="0"/>
    <n v="30"/>
    <x v="0"/>
    <n v="20"/>
    <n v="3"/>
    <n v="62"/>
  </r>
  <r>
    <n v="3280"/>
    <x v="49"/>
    <x v="2"/>
    <d v="2024-04-15T00:00:00"/>
    <x v="0"/>
    <n v="10"/>
    <x v="1"/>
    <x v="1"/>
    <s v="-"/>
    <x v="0"/>
    <n v="20"/>
    <n v="15"/>
    <n v="15"/>
  </r>
  <r>
    <n v="3281"/>
    <x v="50"/>
    <x v="1"/>
    <d v="2024-04-16T00:00:00"/>
    <x v="1"/>
    <n v="5"/>
    <x v="0"/>
    <x v="1"/>
    <s v="-"/>
    <x v="1"/>
    <n v="0"/>
    <n v="1"/>
    <n v="4"/>
  </r>
  <r>
    <n v="3282"/>
    <x v="51"/>
    <x v="0"/>
    <d v="2024-04-17T00:00:00"/>
    <x v="0"/>
    <n v="15"/>
    <x v="2"/>
    <x v="0"/>
    <n v="30"/>
    <x v="0"/>
    <n v="20"/>
    <n v="7"/>
    <n v="58"/>
  </r>
  <r>
    <n v="3283"/>
    <x v="52"/>
    <x v="2"/>
    <d v="2024-04-18T00:00:00"/>
    <x v="1"/>
    <n v="10"/>
    <x v="0"/>
    <x v="1"/>
    <s v="-"/>
    <x v="0"/>
    <n v="20"/>
    <n v="10"/>
    <n v="20"/>
  </r>
  <r>
    <n v="3284"/>
    <x v="53"/>
    <x v="1"/>
    <d v="2024-04-19T00:00:00"/>
    <x v="0"/>
    <n v="5"/>
    <x v="1"/>
    <x v="1"/>
    <s v="-"/>
    <x v="1"/>
    <n v="0"/>
    <n v="0"/>
    <n v="5"/>
  </r>
  <r>
    <n v="3285"/>
    <x v="54"/>
    <x v="0"/>
    <d v="2024-04-20T00:00:00"/>
    <x v="1"/>
    <n v="15"/>
    <x v="0"/>
    <x v="0"/>
    <n v="30"/>
    <x v="0"/>
    <n v="20"/>
    <n v="20"/>
    <n v="45"/>
  </r>
  <r>
    <n v="3286"/>
    <x v="55"/>
    <x v="2"/>
    <d v="2024-04-21T00:00:00"/>
    <x v="0"/>
    <n v="10"/>
    <x v="2"/>
    <x v="1"/>
    <s v="-"/>
    <x v="0"/>
    <n v="20"/>
    <n v="15"/>
    <n v="15"/>
  </r>
  <r>
    <n v="3287"/>
    <x v="56"/>
    <x v="1"/>
    <d v="2024-04-22T00:00:00"/>
    <x v="1"/>
    <n v="5"/>
    <x v="0"/>
    <x v="1"/>
    <s v="-"/>
    <x v="1"/>
    <n v="0"/>
    <n v="1"/>
    <n v="4"/>
  </r>
  <r>
    <n v="3288"/>
    <x v="57"/>
    <x v="0"/>
    <d v="2024-04-23T00:00:00"/>
    <x v="0"/>
    <n v="15"/>
    <x v="1"/>
    <x v="0"/>
    <n v="30"/>
    <x v="0"/>
    <n v="20"/>
    <n v="3"/>
    <n v="62"/>
  </r>
  <r>
    <n v="3289"/>
    <x v="58"/>
    <x v="2"/>
    <d v="2024-04-24T00:00:00"/>
    <x v="1"/>
    <n v="10"/>
    <x v="0"/>
    <x v="1"/>
    <s v="-"/>
    <x v="0"/>
    <n v="20"/>
    <n v="10"/>
    <n v="20"/>
  </r>
  <r>
    <n v="3290"/>
    <x v="59"/>
    <x v="1"/>
    <d v="2024-04-25T00:00:00"/>
    <x v="0"/>
    <n v="5"/>
    <x v="2"/>
    <x v="1"/>
    <s v="-"/>
    <x v="1"/>
    <n v="0"/>
    <n v="0"/>
    <n v="5"/>
  </r>
  <r>
    <n v="3291"/>
    <x v="60"/>
    <x v="0"/>
    <d v="2024-04-26T00:00:00"/>
    <x v="1"/>
    <n v="15"/>
    <x v="0"/>
    <x v="0"/>
    <n v="30"/>
    <x v="0"/>
    <n v="20"/>
    <n v="5"/>
    <n v="60"/>
  </r>
  <r>
    <n v="3292"/>
    <x v="61"/>
    <x v="2"/>
    <d v="2024-04-27T00:00:00"/>
    <x v="0"/>
    <n v="10"/>
    <x v="1"/>
    <x v="1"/>
    <s v="-"/>
    <x v="0"/>
    <n v="20"/>
    <n v="15"/>
    <n v="15"/>
  </r>
  <r>
    <n v="3293"/>
    <x v="62"/>
    <x v="1"/>
    <d v="2024-04-28T00:00:00"/>
    <x v="1"/>
    <n v="5"/>
    <x v="0"/>
    <x v="1"/>
    <s v="-"/>
    <x v="1"/>
    <n v="0"/>
    <n v="1"/>
    <n v="4"/>
  </r>
  <r>
    <n v="3294"/>
    <x v="63"/>
    <x v="0"/>
    <d v="2024-04-29T00:00:00"/>
    <x v="0"/>
    <n v="15"/>
    <x v="2"/>
    <x v="0"/>
    <n v="30"/>
    <x v="0"/>
    <n v="20"/>
    <n v="20"/>
    <n v="45"/>
  </r>
  <r>
    <n v="3295"/>
    <x v="64"/>
    <x v="2"/>
    <d v="2024-04-30T00:00:00"/>
    <x v="1"/>
    <n v="10"/>
    <x v="0"/>
    <x v="1"/>
    <s v="-"/>
    <x v="0"/>
    <n v="20"/>
    <n v="5"/>
    <n v="25"/>
  </r>
  <r>
    <n v="3296"/>
    <x v="65"/>
    <x v="1"/>
    <d v="2024-05-01T00:00:00"/>
    <x v="1"/>
    <n v="5"/>
    <x v="0"/>
    <x v="1"/>
    <s v="-"/>
    <x v="1"/>
    <n v="0"/>
    <n v="0"/>
    <n v="5"/>
  </r>
  <r>
    <n v="3297"/>
    <x v="66"/>
    <x v="0"/>
    <d v="2024-05-02T00:00:00"/>
    <x v="0"/>
    <n v="15"/>
    <x v="2"/>
    <x v="0"/>
    <n v="30"/>
    <x v="0"/>
    <n v="20"/>
    <n v="7"/>
    <n v="58"/>
  </r>
  <r>
    <n v="3298"/>
    <x v="67"/>
    <x v="2"/>
    <d v="2024-05-03T00:00:00"/>
    <x v="1"/>
    <n v="10"/>
    <x v="1"/>
    <x v="1"/>
    <s v="-"/>
    <x v="0"/>
    <n v="20"/>
    <n v="10"/>
    <n v="20"/>
  </r>
  <r>
    <n v="3299"/>
    <x v="68"/>
    <x v="1"/>
    <d v="2024-05-04T00:00:00"/>
    <x v="0"/>
    <n v="5"/>
    <x v="2"/>
    <x v="1"/>
    <s v="-"/>
    <x v="1"/>
    <n v="0"/>
    <n v="1"/>
    <n v="4"/>
  </r>
  <r>
    <n v="3300"/>
    <x v="69"/>
    <x v="0"/>
    <d v="2024-05-05T00:00:00"/>
    <x v="1"/>
    <n v="15"/>
    <x v="0"/>
    <x v="0"/>
    <n v="30"/>
    <x v="0"/>
    <n v="20"/>
    <n v="15"/>
    <n v="50"/>
  </r>
  <r>
    <n v="3301"/>
    <x v="70"/>
    <x v="2"/>
    <d v="2024-05-06T00:00:00"/>
    <x v="0"/>
    <n v="10"/>
    <x v="0"/>
    <x v="1"/>
    <s v="-"/>
    <x v="0"/>
    <n v="20"/>
    <n v="5"/>
    <n v="25"/>
  </r>
  <r>
    <n v="3302"/>
    <x v="71"/>
    <x v="1"/>
    <d v="2024-05-07T00:00:00"/>
    <x v="1"/>
    <n v="5"/>
    <x v="1"/>
    <x v="1"/>
    <s v="-"/>
    <x v="1"/>
    <n v="0"/>
    <n v="0"/>
    <n v="5"/>
  </r>
  <r>
    <n v="3303"/>
    <x v="72"/>
    <x v="0"/>
    <d v="2024-05-08T00:00:00"/>
    <x v="0"/>
    <n v="15"/>
    <x v="2"/>
    <x v="0"/>
    <n v="30"/>
    <x v="0"/>
    <n v="20"/>
    <n v="20"/>
    <n v="45"/>
  </r>
  <r>
    <n v="3304"/>
    <x v="73"/>
    <x v="2"/>
    <d v="2024-05-09T00:00:00"/>
    <x v="1"/>
    <n v="10"/>
    <x v="2"/>
    <x v="1"/>
    <s v="-"/>
    <x v="0"/>
    <n v="20"/>
    <n v="12"/>
    <n v="18"/>
  </r>
  <r>
    <n v="3305"/>
    <x v="74"/>
    <x v="1"/>
    <d v="2024-05-10T00:00:00"/>
    <x v="0"/>
    <n v="5"/>
    <x v="0"/>
    <x v="1"/>
    <s v="-"/>
    <x v="1"/>
    <n v="0"/>
    <n v="2"/>
    <n v="3"/>
  </r>
  <r>
    <n v="3306"/>
    <x v="75"/>
    <x v="0"/>
    <d v="2024-05-11T00:00:00"/>
    <x v="1"/>
    <n v="15"/>
    <x v="1"/>
    <x v="0"/>
    <n v="30"/>
    <x v="0"/>
    <n v="20"/>
    <n v="5"/>
    <n v="60"/>
  </r>
  <r>
    <n v="3307"/>
    <x v="76"/>
    <x v="2"/>
    <d v="2024-05-12T00:00:00"/>
    <x v="0"/>
    <n v="10"/>
    <x v="0"/>
    <x v="1"/>
    <s v="-"/>
    <x v="0"/>
    <n v="20"/>
    <n v="10"/>
    <n v="20"/>
  </r>
  <r>
    <n v="3308"/>
    <x v="77"/>
    <x v="1"/>
    <d v="2024-05-13T00:00:00"/>
    <x v="1"/>
    <n v="5"/>
    <x v="2"/>
    <x v="1"/>
    <s v="-"/>
    <x v="1"/>
    <n v="0"/>
    <n v="0"/>
    <n v="5"/>
  </r>
  <r>
    <n v="3309"/>
    <x v="78"/>
    <x v="0"/>
    <d v="2024-05-14T00:00:00"/>
    <x v="0"/>
    <n v="15"/>
    <x v="0"/>
    <x v="0"/>
    <n v="30"/>
    <x v="0"/>
    <n v="20"/>
    <n v="3"/>
    <n v="62"/>
  </r>
  <r>
    <n v="3310"/>
    <x v="79"/>
    <x v="2"/>
    <d v="2024-05-15T00:00:00"/>
    <x v="1"/>
    <n v="10"/>
    <x v="1"/>
    <x v="1"/>
    <s v="-"/>
    <x v="0"/>
    <n v="20"/>
    <n v="15"/>
    <n v="15"/>
  </r>
  <r>
    <n v="3311"/>
    <x v="80"/>
    <x v="1"/>
    <d v="2024-05-16T00:00:00"/>
    <x v="0"/>
    <n v="5"/>
    <x v="0"/>
    <x v="1"/>
    <s v="-"/>
    <x v="1"/>
    <n v="0"/>
    <n v="1"/>
    <n v="4"/>
  </r>
  <r>
    <n v="3312"/>
    <x v="81"/>
    <x v="0"/>
    <d v="2024-05-17T00:00:00"/>
    <x v="1"/>
    <n v="15"/>
    <x v="2"/>
    <x v="0"/>
    <n v="30"/>
    <x v="0"/>
    <n v="20"/>
    <n v="7"/>
    <n v="58"/>
  </r>
  <r>
    <n v="3313"/>
    <x v="82"/>
    <x v="2"/>
    <d v="2024-05-18T00:00:00"/>
    <x v="0"/>
    <n v="10"/>
    <x v="0"/>
    <x v="1"/>
    <s v="-"/>
    <x v="0"/>
    <n v="20"/>
    <n v="10"/>
    <n v="20"/>
  </r>
  <r>
    <n v="3314"/>
    <x v="83"/>
    <x v="1"/>
    <d v="2024-05-19T00:00:00"/>
    <x v="1"/>
    <n v="5"/>
    <x v="1"/>
    <x v="1"/>
    <s v="-"/>
    <x v="1"/>
    <n v="0"/>
    <n v="0"/>
    <n v="5"/>
  </r>
  <r>
    <n v="3315"/>
    <x v="84"/>
    <x v="0"/>
    <d v="2024-05-20T00:00:00"/>
    <x v="0"/>
    <n v="15"/>
    <x v="0"/>
    <x v="0"/>
    <n v="30"/>
    <x v="0"/>
    <n v="20"/>
    <n v="20"/>
    <n v="45"/>
  </r>
  <r>
    <n v="3316"/>
    <x v="85"/>
    <x v="2"/>
    <d v="2024-05-21T00:00:00"/>
    <x v="1"/>
    <n v="10"/>
    <x v="2"/>
    <x v="1"/>
    <s v="-"/>
    <x v="0"/>
    <n v="20"/>
    <n v="15"/>
    <n v="15"/>
  </r>
  <r>
    <n v="3317"/>
    <x v="86"/>
    <x v="1"/>
    <d v="2024-05-22T00:00:00"/>
    <x v="0"/>
    <n v="5"/>
    <x v="0"/>
    <x v="1"/>
    <s v="-"/>
    <x v="1"/>
    <n v="0"/>
    <n v="1"/>
    <n v="4"/>
  </r>
  <r>
    <n v="3318"/>
    <x v="87"/>
    <x v="0"/>
    <d v="2024-05-23T00:00:00"/>
    <x v="1"/>
    <n v="15"/>
    <x v="1"/>
    <x v="0"/>
    <n v="30"/>
    <x v="0"/>
    <n v="20"/>
    <n v="3"/>
    <n v="62"/>
  </r>
  <r>
    <n v="3319"/>
    <x v="88"/>
    <x v="2"/>
    <d v="2024-05-24T00:00:00"/>
    <x v="0"/>
    <n v="10"/>
    <x v="0"/>
    <x v="1"/>
    <s v="-"/>
    <x v="0"/>
    <n v="20"/>
    <n v="10"/>
    <n v="20"/>
  </r>
  <r>
    <n v="3320"/>
    <x v="89"/>
    <x v="1"/>
    <d v="2024-05-25T00:00:00"/>
    <x v="1"/>
    <n v="5"/>
    <x v="2"/>
    <x v="1"/>
    <s v="-"/>
    <x v="1"/>
    <n v="0"/>
    <n v="0"/>
    <n v="5"/>
  </r>
  <r>
    <n v="3321"/>
    <x v="90"/>
    <x v="0"/>
    <d v="2024-05-26T00:00:00"/>
    <x v="0"/>
    <n v="15"/>
    <x v="0"/>
    <x v="0"/>
    <n v="30"/>
    <x v="0"/>
    <n v="20"/>
    <n v="5"/>
    <n v="60"/>
  </r>
  <r>
    <n v="3322"/>
    <x v="91"/>
    <x v="2"/>
    <d v="2024-05-27T00:00:00"/>
    <x v="1"/>
    <n v="10"/>
    <x v="1"/>
    <x v="1"/>
    <s v="-"/>
    <x v="0"/>
    <n v="20"/>
    <n v="15"/>
    <n v="15"/>
  </r>
  <r>
    <n v="3323"/>
    <x v="92"/>
    <x v="1"/>
    <d v="2024-05-28T00:00:00"/>
    <x v="0"/>
    <n v="5"/>
    <x v="0"/>
    <x v="1"/>
    <s v="-"/>
    <x v="1"/>
    <n v="0"/>
    <n v="1"/>
    <n v="4"/>
  </r>
  <r>
    <n v="3324"/>
    <x v="93"/>
    <x v="0"/>
    <d v="2024-05-29T00:00:00"/>
    <x v="1"/>
    <n v="15"/>
    <x v="2"/>
    <x v="0"/>
    <n v="30"/>
    <x v="0"/>
    <n v="20"/>
    <n v="20"/>
    <n v="45"/>
  </r>
  <r>
    <n v="3325"/>
    <x v="94"/>
    <x v="2"/>
    <d v="2024-05-30T00:00:00"/>
    <x v="0"/>
    <n v="10"/>
    <x v="2"/>
    <x v="1"/>
    <s v="-"/>
    <x v="0"/>
    <n v="20"/>
    <n v="15"/>
    <n v="15"/>
  </r>
  <r>
    <n v="3326"/>
    <x v="95"/>
    <x v="1"/>
    <d v="2024-05-31T00:00:00"/>
    <x v="1"/>
    <n v="5"/>
    <x v="1"/>
    <x v="1"/>
    <s v="-"/>
    <x v="1"/>
    <n v="0"/>
    <n v="0"/>
    <n v="5"/>
  </r>
  <r>
    <n v="3327"/>
    <x v="96"/>
    <x v="0"/>
    <d v="2024-06-01T00:00:00"/>
    <x v="0"/>
    <n v="15"/>
    <x v="0"/>
    <x v="0"/>
    <n v="30"/>
    <x v="0"/>
    <n v="20"/>
    <n v="7"/>
    <n v="58"/>
  </r>
  <r>
    <n v="3328"/>
    <x v="97"/>
    <x v="2"/>
    <d v="2024-06-02T00:00:00"/>
    <x v="1"/>
    <n v="10"/>
    <x v="1"/>
    <x v="1"/>
    <s v="-"/>
    <x v="0"/>
    <n v="20"/>
    <n v="10"/>
    <n v="20"/>
  </r>
  <r>
    <n v="3329"/>
    <x v="98"/>
    <x v="1"/>
    <d v="2024-06-03T00:00:00"/>
    <x v="0"/>
    <n v="5"/>
    <x v="2"/>
    <x v="1"/>
    <s v="-"/>
    <x v="1"/>
    <n v="0"/>
    <n v="1"/>
    <n v="4"/>
  </r>
  <r>
    <n v="3330"/>
    <x v="99"/>
    <x v="0"/>
    <d v="2024-06-04T00:00:00"/>
    <x v="1"/>
    <n v="15"/>
    <x v="0"/>
    <x v="0"/>
    <n v="30"/>
    <x v="0"/>
    <n v="20"/>
    <n v="15"/>
    <n v="50"/>
  </r>
  <r>
    <n v="3331"/>
    <x v="100"/>
    <x v="2"/>
    <d v="2024-06-05T00:00:00"/>
    <x v="0"/>
    <n v="10"/>
    <x v="0"/>
    <x v="1"/>
    <s v="-"/>
    <x v="0"/>
    <n v="20"/>
    <n v="5"/>
    <n v="25"/>
  </r>
  <r>
    <n v="3332"/>
    <x v="101"/>
    <x v="1"/>
    <d v="2024-06-06T00:00:00"/>
    <x v="1"/>
    <n v="5"/>
    <x v="1"/>
    <x v="1"/>
    <s v="-"/>
    <x v="1"/>
    <n v="0"/>
    <n v="0"/>
    <n v="5"/>
  </r>
  <r>
    <n v="3333"/>
    <x v="102"/>
    <x v="0"/>
    <d v="2024-06-07T00:00:00"/>
    <x v="0"/>
    <n v="15"/>
    <x v="2"/>
    <x v="0"/>
    <n v="30"/>
    <x v="0"/>
    <n v="20"/>
    <n v="20"/>
    <n v="45"/>
  </r>
  <r>
    <n v="3334"/>
    <x v="103"/>
    <x v="2"/>
    <d v="2024-06-08T00:00:00"/>
    <x v="1"/>
    <n v="10"/>
    <x v="2"/>
    <x v="1"/>
    <s v="-"/>
    <x v="0"/>
    <n v="20"/>
    <n v="12"/>
    <n v="18"/>
  </r>
  <r>
    <n v="3335"/>
    <x v="104"/>
    <x v="1"/>
    <d v="2024-06-09T00:00:00"/>
    <x v="0"/>
    <n v="5"/>
    <x v="0"/>
    <x v="1"/>
    <s v="-"/>
    <x v="1"/>
    <n v="0"/>
    <n v="2"/>
    <n v="3"/>
  </r>
  <r>
    <n v="3336"/>
    <x v="105"/>
    <x v="1"/>
    <d v="2024-06-10T00:00:00"/>
    <x v="0"/>
    <n v="5"/>
    <x v="0"/>
    <x v="1"/>
    <s v="-"/>
    <x v="1"/>
    <n v="0"/>
    <n v="0"/>
    <n v="5"/>
  </r>
  <r>
    <n v="3337"/>
    <x v="106"/>
    <x v="0"/>
    <d v="2024-06-11T00:00:00"/>
    <x v="1"/>
    <n v="15"/>
    <x v="2"/>
    <x v="0"/>
    <n v="30"/>
    <x v="0"/>
    <n v="20"/>
    <n v="7"/>
    <n v="58"/>
  </r>
  <r>
    <n v="3338"/>
    <x v="107"/>
    <x v="2"/>
    <d v="2024-06-12T00:00:00"/>
    <x v="0"/>
    <n v="10"/>
    <x v="1"/>
    <x v="1"/>
    <s v="-"/>
    <x v="0"/>
    <n v="20"/>
    <n v="10"/>
    <n v="20"/>
  </r>
  <r>
    <n v="3339"/>
    <x v="108"/>
    <x v="1"/>
    <d v="2024-06-13T00:00:00"/>
    <x v="1"/>
    <n v="5"/>
    <x v="2"/>
    <x v="1"/>
    <s v="-"/>
    <x v="1"/>
    <n v="0"/>
    <n v="1"/>
    <n v="4"/>
  </r>
  <r>
    <n v="3340"/>
    <x v="109"/>
    <x v="0"/>
    <d v="2024-06-14T00:00:00"/>
    <x v="0"/>
    <n v="15"/>
    <x v="0"/>
    <x v="0"/>
    <n v="30"/>
    <x v="0"/>
    <n v="20"/>
    <n v="15"/>
    <n v="50"/>
  </r>
  <r>
    <n v="3341"/>
    <x v="110"/>
    <x v="2"/>
    <d v="2024-06-15T00:00:00"/>
    <x v="1"/>
    <n v="10"/>
    <x v="0"/>
    <x v="1"/>
    <s v="-"/>
    <x v="0"/>
    <n v="20"/>
    <n v="5"/>
    <n v="25"/>
  </r>
  <r>
    <n v="3342"/>
    <x v="111"/>
    <x v="1"/>
    <d v="2024-06-16T00:00:00"/>
    <x v="0"/>
    <n v="5"/>
    <x v="1"/>
    <x v="1"/>
    <s v="-"/>
    <x v="1"/>
    <n v="0"/>
    <n v="0"/>
    <n v="5"/>
  </r>
  <r>
    <n v="3343"/>
    <x v="112"/>
    <x v="0"/>
    <d v="2024-06-17T00:00:00"/>
    <x v="1"/>
    <n v="15"/>
    <x v="2"/>
    <x v="0"/>
    <n v="30"/>
    <x v="0"/>
    <n v="20"/>
    <n v="20"/>
    <n v="45"/>
  </r>
  <r>
    <n v="3344"/>
    <x v="113"/>
    <x v="2"/>
    <d v="2024-06-18T00:00:00"/>
    <x v="0"/>
    <n v="10"/>
    <x v="2"/>
    <x v="1"/>
    <s v="-"/>
    <x v="0"/>
    <n v="20"/>
    <n v="12"/>
    <n v="18"/>
  </r>
  <r>
    <n v="3345"/>
    <x v="114"/>
    <x v="1"/>
    <d v="2024-06-19T00:00:00"/>
    <x v="1"/>
    <n v="5"/>
    <x v="0"/>
    <x v="1"/>
    <s v="-"/>
    <x v="1"/>
    <n v="0"/>
    <n v="2"/>
    <n v="3"/>
  </r>
  <r>
    <n v="3346"/>
    <x v="115"/>
    <x v="0"/>
    <d v="2024-06-20T00:00:00"/>
    <x v="0"/>
    <n v="15"/>
    <x v="1"/>
    <x v="0"/>
    <n v="30"/>
    <x v="0"/>
    <n v="20"/>
    <n v="5"/>
    <n v="60"/>
  </r>
  <r>
    <n v="3347"/>
    <x v="116"/>
    <x v="2"/>
    <d v="2024-06-21T00:00:00"/>
    <x v="1"/>
    <n v="10"/>
    <x v="0"/>
    <x v="1"/>
    <s v="-"/>
    <x v="0"/>
    <n v="20"/>
    <n v="10"/>
    <n v="20"/>
  </r>
  <r>
    <n v="3348"/>
    <x v="117"/>
    <x v="1"/>
    <d v="2024-06-22T00:00:00"/>
    <x v="0"/>
    <n v="5"/>
    <x v="2"/>
    <x v="1"/>
    <s v="-"/>
    <x v="1"/>
    <n v="0"/>
    <n v="0"/>
    <n v="5"/>
  </r>
  <r>
    <n v="3349"/>
    <x v="93"/>
    <x v="0"/>
    <d v="2024-06-23T00:00:00"/>
    <x v="1"/>
    <n v="15"/>
    <x v="0"/>
    <x v="0"/>
    <n v="30"/>
    <x v="0"/>
    <n v="20"/>
    <n v="3"/>
    <n v="62"/>
  </r>
  <r>
    <n v="3350"/>
    <x v="118"/>
    <x v="2"/>
    <d v="2024-06-24T00:00:00"/>
    <x v="0"/>
    <n v="10"/>
    <x v="1"/>
    <x v="1"/>
    <s v="-"/>
    <x v="0"/>
    <n v="20"/>
    <n v="15"/>
    <n v="15"/>
  </r>
  <r>
    <n v="3351"/>
    <x v="119"/>
    <x v="1"/>
    <d v="2024-06-25T00:00:00"/>
    <x v="1"/>
    <n v="5"/>
    <x v="0"/>
    <x v="1"/>
    <s v="-"/>
    <x v="1"/>
    <n v="0"/>
    <n v="1"/>
    <n v="4"/>
  </r>
  <r>
    <n v="3352"/>
    <x v="120"/>
    <x v="0"/>
    <d v="2024-06-26T00:00:00"/>
    <x v="0"/>
    <n v="15"/>
    <x v="2"/>
    <x v="0"/>
    <n v="30"/>
    <x v="0"/>
    <n v="20"/>
    <n v="7"/>
    <n v="58"/>
  </r>
  <r>
    <n v="3353"/>
    <x v="121"/>
    <x v="2"/>
    <d v="2024-06-27T00:00:00"/>
    <x v="1"/>
    <n v="10"/>
    <x v="0"/>
    <x v="1"/>
    <s v="-"/>
    <x v="0"/>
    <n v="20"/>
    <n v="10"/>
    <n v="20"/>
  </r>
  <r>
    <n v="3354"/>
    <x v="122"/>
    <x v="1"/>
    <d v="2024-06-28T00:00:00"/>
    <x v="0"/>
    <n v="5"/>
    <x v="1"/>
    <x v="1"/>
    <s v="-"/>
    <x v="1"/>
    <n v="0"/>
    <n v="0"/>
    <n v="5"/>
  </r>
  <r>
    <n v="3355"/>
    <x v="123"/>
    <x v="0"/>
    <d v="2024-06-29T00:00:00"/>
    <x v="1"/>
    <n v="15"/>
    <x v="0"/>
    <x v="0"/>
    <n v="30"/>
    <x v="0"/>
    <n v="20"/>
    <n v="20"/>
    <n v="45"/>
  </r>
  <r>
    <n v="3356"/>
    <x v="124"/>
    <x v="2"/>
    <d v="2024-06-30T00:00:00"/>
    <x v="0"/>
    <n v="10"/>
    <x v="2"/>
    <x v="1"/>
    <s v="-"/>
    <x v="0"/>
    <n v="20"/>
    <n v="15"/>
    <n v="15"/>
  </r>
  <r>
    <n v="3357"/>
    <x v="125"/>
    <x v="1"/>
    <d v="2024-07-01T00:00:00"/>
    <x v="1"/>
    <n v="5"/>
    <x v="0"/>
    <x v="1"/>
    <s v="-"/>
    <x v="1"/>
    <n v="0"/>
    <n v="1"/>
    <n v="4"/>
  </r>
  <r>
    <n v="3358"/>
    <x v="126"/>
    <x v="0"/>
    <d v="2024-07-02T00:00:00"/>
    <x v="0"/>
    <n v="15"/>
    <x v="1"/>
    <x v="0"/>
    <n v="30"/>
    <x v="0"/>
    <n v="20"/>
    <n v="3"/>
    <n v="62"/>
  </r>
  <r>
    <n v="3359"/>
    <x v="127"/>
    <x v="2"/>
    <d v="2024-07-03T00:00:00"/>
    <x v="1"/>
    <n v="10"/>
    <x v="0"/>
    <x v="1"/>
    <s v="-"/>
    <x v="0"/>
    <n v="20"/>
    <n v="10"/>
    <n v="20"/>
  </r>
  <r>
    <n v="3360"/>
    <x v="128"/>
    <x v="1"/>
    <d v="2024-07-04T00:00:00"/>
    <x v="0"/>
    <n v="5"/>
    <x v="2"/>
    <x v="1"/>
    <s v="-"/>
    <x v="1"/>
    <n v="0"/>
    <n v="0"/>
    <n v="5"/>
  </r>
  <r>
    <n v="3361"/>
    <x v="129"/>
    <x v="0"/>
    <d v="2024-07-05T00:00:00"/>
    <x v="1"/>
    <n v="15"/>
    <x v="0"/>
    <x v="0"/>
    <n v="30"/>
    <x v="0"/>
    <n v="20"/>
    <n v="15"/>
    <n v="50"/>
  </r>
  <r>
    <n v="3362"/>
    <x v="130"/>
    <x v="2"/>
    <d v="2024-07-06T00:00:00"/>
    <x v="0"/>
    <n v="10"/>
    <x v="1"/>
    <x v="1"/>
    <s v="-"/>
    <x v="0"/>
    <n v="20"/>
    <n v="15"/>
    <n v="15"/>
  </r>
  <r>
    <n v="3363"/>
    <x v="131"/>
    <x v="1"/>
    <d v="2024-07-07T00:00:00"/>
    <x v="1"/>
    <n v="5"/>
    <x v="0"/>
    <x v="1"/>
    <s v="-"/>
    <x v="1"/>
    <n v="0"/>
    <n v="1"/>
    <n v="4"/>
  </r>
  <r>
    <n v="3364"/>
    <x v="132"/>
    <x v="0"/>
    <d v="2024-07-08T00:00:00"/>
    <x v="0"/>
    <n v="15"/>
    <x v="2"/>
    <x v="0"/>
    <n v="30"/>
    <x v="0"/>
    <n v="20"/>
    <n v="7"/>
    <n v="58"/>
  </r>
  <r>
    <n v="3365"/>
    <x v="133"/>
    <x v="2"/>
    <d v="2024-07-09T00:00:00"/>
    <x v="1"/>
    <n v="10"/>
    <x v="0"/>
    <x v="1"/>
    <s v="-"/>
    <x v="0"/>
    <n v="20"/>
    <n v="10"/>
    <n v="20"/>
  </r>
  <r>
    <n v="3366"/>
    <x v="134"/>
    <x v="1"/>
    <d v="2024-07-10T00:00:00"/>
    <x v="0"/>
    <n v="5"/>
    <x v="0"/>
    <x v="1"/>
    <s v="-"/>
    <x v="1"/>
    <n v="0"/>
    <n v="0"/>
    <n v="5"/>
  </r>
  <r>
    <n v="3367"/>
    <x v="135"/>
    <x v="0"/>
    <d v="2024-07-11T00:00:00"/>
    <x v="1"/>
    <n v="15"/>
    <x v="2"/>
    <x v="0"/>
    <n v="30"/>
    <x v="0"/>
    <n v="20"/>
    <n v="7"/>
    <n v="58"/>
  </r>
  <r>
    <n v="3368"/>
    <x v="136"/>
    <x v="2"/>
    <d v="2024-07-12T00:00:00"/>
    <x v="0"/>
    <n v="10"/>
    <x v="1"/>
    <x v="1"/>
    <s v="-"/>
    <x v="0"/>
    <n v="20"/>
    <n v="10"/>
    <n v="20"/>
  </r>
  <r>
    <n v="3369"/>
    <x v="137"/>
    <x v="1"/>
    <d v="2024-07-13T00:00:00"/>
    <x v="1"/>
    <n v="5"/>
    <x v="2"/>
    <x v="1"/>
    <s v="-"/>
    <x v="1"/>
    <n v="0"/>
    <n v="1"/>
    <n v="4"/>
  </r>
  <r>
    <n v="3370"/>
    <x v="138"/>
    <x v="0"/>
    <d v="2024-07-14T00:00:00"/>
    <x v="0"/>
    <n v="15"/>
    <x v="0"/>
    <x v="0"/>
    <n v="30"/>
    <x v="0"/>
    <n v="20"/>
    <n v="15"/>
    <n v="50"/>
  </r>
  <r>
    <n v="3371"/>
    <x v="139"/>
    <x v="2"/>
    <d v="2024-07-15T00:00:00"/>
    <x v="1"/>
    <n v="10"/>
    <x v="0"/>
    <x v="1"/>
    <s v="-"/>
    <x v="0"/>
    <n v="20"/>
    <n v="5"/>
    <n v="25"/>
  </r>
  <r>
    <n v="3372"/>
    <x v="140"/>
    <x v="1"/>
    <d v="2024-07-16T00:00:00"/>
    <x v="0"/>
    <n v="5"/>
    <x v="1"/>
    <x v="1"/>
    <s v="-"/>
    <x v="1"/>
    <n v="0"/>
    <n v="0"/>
    <n v="5"/>
  </r>
  <r>
    <n v="3373"/>
    <x v="141"/>
    <x v="0"/>
    <d v="2024-07-17T00:00:00"/>
    <x v="1"/>
    <n v="15"/>
    <x v="2"/>
    <x v="0"/>
    <n v="30"/>
    <x v="0"/>
    <n v="20"/>
    <n v="20"/>
    <n v="45"/>
  </r>
  <r>
    <n v="3374"/>
    <x v="142"/>
    <x v="2"/>
    <d v="2024-07-18T00:00:00"/>
    <x v="0"/>
    <n v="10"/>
    <x v="2"/>
    <x v="1"/>
    <s v="-"/>
    <x v="0"/>
    <n v="20"/>
    <n v="12"/>
    <n v="18"/>
  </r>
  <r>
    <n v="3375"/>
    <x v="143"/>
    <x v="1"/>
    <d v="2024-07-19T00:00:00"/>
    <x v="1"/>
    <n v="5"/>
    <x v="0"/>
    <x v="1"/>
    <s v="-"/>
    <x v="1"/>
    <n v="0"/>
    <n v="2"/>
    <n v="3"/>
  </r>
  <r>
    <n v="3376"/>
    <x v="144"/>
    <x v="0"/>
    <d v="2024-07-20T00:00:00"/>
    <x v="0"/>
    <n v="15"/>
    <x v="1"/>
    <x v="0"/>
    <n v="30"/>
    <x v="0"/>
    <n v="20"/>
    <n v="5"/>
    <n v="60"/>
  </r>
  <r>
    <n v="3377"/>
    <x v="145"/>
    <x v="2"/>
    <d v="2024-07-21T00:00:00"/>
    <x v="1"/>
    <n v="10"/>
    <x v="0"/>
    <x v="1"/>
    <s v="-"/>
    <x v="0"/>
    <n v="20"/>
    <n v="10"/>
    <n v="20"/>
  </r>
  <r>
    <n v="3378"/>
    <x v="146"/>
    <x v="1"/>
    <d v="2024-07-22T00:00:00"/>
    <x v="0"/>
    <n v="5"/>
    <x v="2"/>
    <x v="1"/>
    <s v="-"/>
    <x v="1"/>
    <n v="0"/>
    <n v="0"/>
    <n v="5"/>
  </r>
  <r>
    <n v="3379"/>
    <x v="147"/>
    <x v="0"/>
    <d v="2024-07-23T00:00:00"/>
    <x v="1"/>
    <n v="15"/>
    <x v="0"/>
    <x v="0"/>
    <n v="30"/>
    <x v="0"/>
    <n v="20"/>
    <n v="3"/>
    <n v="62"/>
  </r>
  <r>
    <n v="3380"/>
    <x v="148"/>
    <x v="2"/>
    <d v="2024-07-24T00:00:00"/>
    <x v="0"/>
    <n v="10"/>
    <x v="1"/>
    <x v="1"/>
    <s v="-"/>
    <x v="0"/>
    <n v="20"/>
    <n v="15"/>
    <n v="15"/>
  </r>
  <r>
    <n v="3381"/>
    <x v="149"/>
    <x v="1"/>
    <d v="2024-07-25T00:00:00"/>
    <x v="1"/>
    <n v="5"/>
    <x v="0"/>
    <x v="1"/>
    <s v="-"/>
    <x v="1"/>
    <n v="0"/>
    <n v="1"/>
    <n v="4"/>
  </r>
  <r>
    <n v="3382"/>
    <x v="150"/>
    <x v="0"/>
    <d v="2024-07-26T00:00:00"/>
    <x v="0"/>
    <n v="15"/>
    <x v="2"/>
    <x v="0"/>
    <n v="30"/>
    <x v="0"/>
    <n v="20"/>
    <n v="7"/>
    <n v="58"/>
  </r>
  <r>
    <n v="3383"/>
    <x v="151"/>
    <x v="2"/>
    <d v="2024-07-27T00:00:00"/>
    <x v="1"/>
    <n v="10"/>
    <x v="0"/>
    <x v="1"/>
    <s v="-"/>
    <x v="0"/>
    <n v="20"/>
    <n v="10"/>
    <n v="20"/>
  </r>
  <r>
    <n v="3384"/>
    <x v="152"/>
    <x v="1"/>
    <d v="2024-07-28T00:00:00"/>
    <x v="0"/>
    <n v="5"/>
    <x v="1"/>
    <x v="1"/>
    <s v="-"/>
    <x v="1"/>
    <n v="0"/>
    <n v="0"/>
    <n v="5"/>
  </r>
  <r>
    <n v="3385"/>
    <x v="153"/>
    <x v="0"/>
    <d v="2024-07-29T00:00:00"/>
    <x v="1"/>
    <n v="15"/>
    <x v="0"/>
    <x v="0"/>
    <n v="30"/>
    <x v="0"/>
    <n v="20"/>
    <n v="20"/>
    <n v="45"/>
  </r>
  <r>
    <n v="3386"/>
    <x v="154"/>
    <x v="2"/>
    <d v="2024-07-30T00:00:00"/>
    <x v="0"/>
    <n v="10"/>
    <x v="2"/>
    <x v="1"/>
    <s v="-"/>
    <x v="0"/>
    <n v="20"/>
    <n v="15"/>
    <n v="15"/>
  </r>
  <r>
    <n v="3387"/>
    <x v="155"/>
    <x v="1"/>
    <d v="2024-07-31T00:00:00"/>
    <x v="1"/>
    <n v="5"/>
    <x v="0"/>
    <x v="1"/>
    <s v="-"/>
    <x v="1"/>
    <n v="0"/>
    <n v="1"/>
    <n v="4"/>
  </r>
  <r>
    <n v="3388"/>
    <x v="156"/>
    <x v="0"/>
    <d v="2024-08-01T00:00:00"/>
    <x v="0"/>
    <n v="15"/>
    <x v="1"/>
    <x v="0"/>
    <n v="30"/>
    <x v="0"/>
    <n v="20"/>
    <n v="3"/>
    <n v="62"/>
  </r>
  <r>
    <n v="3389"/>
    <x v="157"/>
    <x v="2"/>
    <d v="2024-08-02T00:00:00"/>
    <x v="1"/>
    <n v="10"/>
    <x v="0"/>
    <x v="1"/>
    <s v="-"/>
    <x v="0"/>
    <n v="20"/>
    <n v="10"/>
    <n v="20"/>
  </r>
  <r>
    <n v="3390"/>
    <x v="158"/>
    <x v="1"/>
    <d v="2024-08-03T00:00:00"/>
    <x v="0"/>
    <n v="5"/>
    <x v="2"/>
    <x v="1"/>
    <s v="-"/>
    <x v="1"/>
    <n v="0"/>
    <n v="0"/>
    <n v="5"/>
  </r>
  <r>
    <n v="3391"/>
    <x v="58"/>
    <x v="0"/>
    <d v="2024-08-04T00:00:00"/>
    <x v="1"/>
    <n v="15"/>
    <x v="0"/>
    <x v="0"/>
    <n v="30"/>
    <x v="0"/>
    <n v="20"/>
    <n v="15"/>
    <n v="50"/>
  </r>
  <r>
    <n v="3392"/>
    <x v="159"/>
    <x v="2"/>
    <d v="2024-08-05T00:00:00"/>
    <x v="0"/>
    <n v="10"/>
    <x v="1"/>
    <x v="1"/>
    <s v="-"/>
    <x v="0"/>
    <n v="20"/>
    <n v="15"/>
    <n v="15"/>
  </r>
  <r>
    <n v="3393"/>
    <x v="160"/>
    <x v="1"/>
    <d v="2024-08-06T00:00:00"/>
    <x v="1"/>
    <n v="5"/>
    <x v="0"/>
    <x v="1"/>
    <s v="-"/>
    <x v="1"/>
    <n v="0"/>
    <n v="1"/>
    <n v="4"/>
  </r>
  <r>
    <n v="3394"/>
    <x v="161"/>
    <x v="0"/>
    <d v="2024-08-07T00:00:00"/>
    <x v="0"/>
    <n v="15"/>
    <x v="2"/>
    <x v="0"/>
    <n v="30"/>
    <x v="0"/>
    <n v="20"/>
    <n v="7"/>
    <n v="58"/>
  </r>
  <r>
    <n v="3395"/>
    <x v="162"/>
    <x v="2"/>
    <d v="2024-08-08T00:00:00"/>
    <x v="1"/>
    <n v="10"/>
    <x v="0"/>
    <x v="1"/>
    <s v="-"/>
    <x v="0"/>
    <n v="20"/>
    <n v="10"/>
    <n v="20"/>
  </r>
  <r>
    <n v="3396"/>
    <x v="163"/>
    <x v="1"/>
    <d v="2024-08-09T00:00:00"/>
    <x v="0"/>
    <n v="5"/>
    <x v="1"/>
    <x v="1"/>
    <s v="-"/>
    <x v="1"/>
    <n v="0"/>
    <n v="0"/>
    <n v="5"/>
  </r>
  <r>
    <n v="3397"/>
    <x v="90"/>
    <x v="0"/>
    <d v="2024-08-10T00:00:00"/>
    <x v="1"/>
    <n v="15"/>
    <x v="0"/>
    <x v="0"/>
    <n v="30"/>
    <x v="0"/>
    <n v="20"/>
    <n v="20"/>
    <n v="45"/>
  </r>
  <r>
    <n v="3398"/>
    <x v="164"/>
    <x v="2"/>
    <d v="2024-08-11T00:00:00"/>
    <x v="0"/>
    <n v="10"/>
    <x v="2"/>
    <x v="1"/>
    <s v="-"/>
    <x v="0"/>
    <n v="20"/>
    <n v="15"/>
    <n v="15"/>
  </r>
  <r>
    <n v="3399"/>
    <x v="165"/>
    <x v="1"/>
    <d v="2024-08-12T00:00:00"/>
    <x v="1"/>
    <n v="5"/>
    <x v="0"/>
    <x v="1"/>
    <s v="-"/>
    <x v="1"/>
    <n v="0"/>
    <n v="1"/>
    <n v="4"/>
  </r>
  <r>
    <n v="3400"/>
    <x v="166"/>
    <x v="0"/>
    <d v="2024-08-13T00:00:00"/>
    <x v="0"/>
    <n v="15"/>
    <x v="1"/>
    <x v="0"/>
    <n v="30"/>
    <x v="0"/>
    <n v="20"/>
    <n v="5"/>
    <n v="60"/>
  </r>
  <r>
    <n v="3401"/>
    <x v="167"/>
    <x v="2"/>
    <d v="2024-08-14T00:00:00"/>
    <x v="1"/>
    <n v="10"/>
    <x v="0"/>
    <x v="1"/>
    <s v="-"/>
    <x v="0"/>
    <n v="20"/>
    <n v="10"/>
    <n v="20"/>
  </r>
  <r>
    <n v="3402"/>
    <x v="168"/>
    <x v="1"/>
    <d v="2024-08-15T00:00:00"/>
    <x v="0"/>
    <n v="5"/>
    <x v="2"/>
    <x v="1"/>
    <s v="-"/>
    <x v="1"/>
    <n v="0"/>
    <n v="0"/>
    <n v="5"/>
  </r>
  <r>
    <n v="3403"/>
    <x v="169"/>
    <x v="0"/>
    <d v="2024-08-16T00:00:00"/>
    <x v="1"/>
    <n v="15"/>
    <x v="0"/>
    <x v="0"/>
    <n v="30"/>
    <x v="0"/>
    <n v="20"/>
    <n v="3"/>
    <n v="62"/>
  </r>
  <r>
    <n v="3404"/>
    <x v="170"/>
    <x v="2"/>
    <d v="2024-08-17T00:00:00"/>
    <x v="0"/>
    <n v="10"/>
    <x v="1"/>
    <x v="1"/>
    <s v="-"/>
    <x v="0"/>
    <n v="20"/>
    <n v="15"/>
    <n v="15"/>
  </r>
  <r>
    <n v="3405"/>
    <x v="171"/>
    <x v="1"/>
    <d v="2024-08-18T00:00:00"/>
    <x v="1"/>
    <n v="5"/>
    <x v="0"/>
    <x v="1"/>
    <s v="-"/>
    <x v="1"/>
    <n v="0"/>
    <n v="1"/>
    <n v="4"/>
  </r>
  <r>
    <n v="3406"/>
    <x v="172"/>
    <x v="1"/>
    <d v="2024-08-19T00:00:00"/>
    <x v="0"/>
    <n v="5"/>
    <x v="0"/>
    <x v="1"/>
    <s v="-"/>
    <x v="1"/>
    <n v="0"/>
    <n v="0"/>
    <n v="5"/>
  </r>
  <r>
    <n v="3407"/>
    <x v="173"/>
    <x v="0"/>
    <d v="2024-08-20T00:00:00"/>
    <x v="1"/>
    <n v="15"/>
    <x v="2"/>
    <x v="0"/>
    <n v="30"/>
    <x v="0"/>
    <n v="20"/>
    <n v="7"/>
    <n v="58"/>
  </r>
  <r>
    <n v="3408"/>
    <x v="174"/>
    <x v="2"/>
    <d v="2024-08-21T00:00:00"/>
    <x v="0"/>
    <n v="10"/>
    <x v="1"/>
    <x v="1"/>
    <s v="-"/>
    <x v="0"/>
    <n v="20"/>
    <n v="10"/>
    <n v="20"/>
  </r>
  <r>
    <n v="3409"/>
    <x v="175"/>
    <x v="1"/>
    <d v="2024-08-22T00:00:00"/>
    <x v="1"/>
    <n v="5"/>
    <x v="2"/>
    <x v="1"/>
    <s v="-"/>
    <x v="1"/>
    <n v="0"/>
    <n v="1"/>
    <n v="4"/>
  </r>
  <r>
    <n v="3410"/>
    <x v="176"/>
    <x v="0"/>
    <d v="2024-08-23T00:00:00"/>
    <x v="0"/>
    <n v="15"/>
    <x v="0"/>
    <x v="0"/>
    <n v="30"/>
    <x v="0"/>
    <n v="20"/>
    <n v="15"/>
    <n v="50"/>
  </r>
  <r>
    <n v="3411"/>
    <x v="177"/>
    <x v="2"/>
    <d v="2024-08-24T00:00:00"/>
    <x v="1"/>
    <n v="10"/>
    <x v="0"/>
    <x v="1"/>
    <s v="-"/>
    <x v="0"/>
    <n v="20"/>
    <n v="5"/>
    <n v="25"/>
  </r>
  <r>
    <n v="3412"/>
    <x v="178"/>
    <x v="1"/>
    <d v="2024-08-25T00:00:00"/>
    <x v="0"/>
    <n v="5"/>
    <x v="1"/>
    <x v="1"/>
    <s v="-"/>
    <x v="1"/>
    <n v="0"/>
    <n v="0"/>
    <n v="5"/>
  </r>
  <r>
    <n v="3413"/>
    <x v="179"/>
    <x v="0"/>
    <d v="2024-08-26T00:00:00"/>
    <x v="1"/>
    <n v="15"/>
    <x v="2"/>
    <x v="0"/>
    <n v="30"/>
    <x v="0"/>
    <n v="20"/>
    <n v="20"/>
    <n v="45"/>
  </r>
  <r>
    <n v="3414"/>
    <x v="180"/>
    <x v="2"/>
    <d v="2024-08-27T00:00:00"/>
    <x v="0"/>
    <n v="10"/>
    <x v="2"/>
    <x v="1"/>
    <s v="-"/>
    <x v="0"/>
    <n v="20"/>
    <n v="12"/>
    <n v="18"/>
  </r>
  <r>
    <n v="3415"/>
    <x v="181"/>
    <x v="1"/>
    <d v="2024-08-28T00:00:00"/>
    <x v="1"/>
    <n v="5"/>
    <x v="0"/>
    <x v="1"/>
    <s v="-"/>
    <x v="1"/>
    <n v="0"/>
    <n v="2"/>
    <n v="3"/>
  </r>
  <r>
    <n v="3416"/>
    <x v="182"/>
    <x v="0"/>
    <d v="2024-08-29T00:00:00"/>
    <x v="0"/>
    <n v="15"/>
    <x v="1"/>
    <x v="0"/>
    <n v="30"/>
    <x v="0"/>
    <n v="20"/>
    <n v="5"/>
    <n v="60"/>
  </r>
  <r>
    <n v="3417"/>
    <x v="183"/>
    <x v="2"/>
    <d v="2024-08-30T00:00:00"/>
    <x v="1"/>
    <n v="10"/>
    <x v="0"/>
    <x v="1"/>
    <s v="-"/>
    <x v="0"/>
    <n v="20"/>
    <n v="10"/>
    <n v="20"/>
  </r>
  <r>
    <n v="3418"/>
    <x v="184"/>
    <x v="1"/>
    <d v="2024-08-31T00:00:00"/>
    <x v="0"/>
    <n v="5"/>
    <x v="2"/>
    <x v="1"/>
    <s v="-"/>
    <x v="1"/>
    <n v="0"/>
    <n v="0"/>
    <n v="5"/>
  </r>
  <r>
    <n v="3419"/>
    <x v="185"/>
    <x v="0"/>
    <d v="2024-09-01T00:00:00"/>
    <x v="1"/>
    <n v="15"/>
    <x v="0"/>
    <x v="0"/>
    <n v="30"/>
    <x v="0"/>
    <n v="20"/>
    <n v="3"/>
    <n v="62"/>
  </r>
  <r>
    <n v="3420"/>
    <x v="186"/>
    <x v="2"/>
    <d v="2024-09-02T00:00:00"/>
    <x v="0"/>
    <n v="10"/>
    <x v="1"/>
    <x v="1"/>
    <s v="-"/>
    <x v="0"/>
    <n v="20"/>
    <n v="15"/>
    <n v="15"/>
  </r>
  <r>
    <n v="3421"/>
    <x v="15"/>
    <x v="1"/>
    <d v="2024-09-03T00:00:00"/>
    <x v="1"/>
    <n v="5"/>
    <x v="0"/>
    <x v="1"/>
    <s v="-"/>
    <x v="1"/>
    <n v="0"/>
    <n v="1"/>
    <n v="4"/>
  </r>
  <r>
    <n v="3422"/>
    <x v="187"/>
    <x v="0"/>
    <d v="2024-09-04T00:00:00"/>
    <x v="0"/>
    <n v="15"/>
    <x v="2"/>
    <x v="0"/>
    <n v="30"/>
    <x v="0"/>
    <n v="20"/>
    <n v="7"/>
    <n v="58"/>
  </r>
  <r>
    <n v="3423"/>
    <x v="188"/>
    <x v="2"/>
    <d v="2024-09-05T00:00:00"/>
    <x v="1"/>
    <n v="10"/>
    <x v="0"/>
    <x v="1"/>
    <s v="-"/>
    <x v="0"/>
    <n v="20"/>
    <n v="10"/>
    <n v="20"/>
  </r>
  <r>
    <n v="3424"/>
    <x v="14"/>
    <x v="1"/>
    <d v="2024-09-06T00:00:00"/>
    <x v="0"/>
    <n v="5"/>
    <x v="1"/>
    <x v="1"/>
    <s v="-"/>
    <x v="1"/>
    <n v="0"/>
    <n v="0"/>
    <n v="5"/>
  </r>
  <r>
    <n v="3425"/>
    <x v="189"/>
    <x v="0"/>
    <d v="2024-09-07T00:00:00"/>
    <x v="1"/>
    <n v="15"/>
    <x v="0"/>
    <x v="0"/>
    <n v="30"/>
    <x v="0"/>
    <n v="20"/>
    <n v="20"/>
    <n v="45"/>
  </r>
  <r>
    <n v="3426"/>
    <x v="167"/>
    <x v="2"/>
    <d v="2024-09-08T00:00:00"/>
    <x v="0"/>
    <n v="10"/>
    <x v="2"/>
    <x v="1"/>
    <s v="-"/>
    <x v="0"/>
    <n v="20"/>
    <n v="15"/>
    <n v="15"/>
  </r>
  <r>
    <n v="3427"/>
    <x v="190"/>
    <x v="1"/>
    <d v="2024-09-09T00:00:00"/>
    <x v="1"/>
    <n v="5"/>
    <x v="0"/>
    <x v="1"/>
    <s v="-"/>
    <x v="1"/>
    <n v="0"/>
    <n v="1"/>
    <n v="4"/>
  </r>
  <r>
    <n v="3428"/>
    <x v="191"/>
    <x v="0"/>
    <d v="2024-09-10T00:00:00"/>
    <x v="0"/>
    <n v="15"/>
    <x v="1"/>
    <x v="0"/>
    <n v="30"/>
    <x v="0"/>
    <n v="20"/>
    <n v="3"/>
    <n v="62"/>
  </r>
  <r>
    <n v="3429"/>
    <x v="192"/>
    <x v="2"/>
    <d v="2024-09-11T00:00:00"/>
    <x v="1"/>
    <n v="10"/>
    <x v="0"/>
    <x v="1"/>
    <s v="-"/>
    <x v="0"/>
    <n v="20"/>
    <n v="10"/>
    <n v="20"/>
  </r>
  <r>
    <n v="3430"/>
    <x v="193"/>
    <x v="1"/>
    <d v="2024-09-12T00:00:00"/>
    <x v="0"/>
    <n v="5"/>
    <x v="2"/>
    <x v="1"/>
    <s v="-"/>
    <x v="1"/>
    <n v="0"/>
    <n v="0"/>
    <n v="5"/>
  </r>
  <r>
    <n v="3431"/>
    <x v="194"/>
    <x v="0"/>
    <d v="2024-09-13T00:00:00"/>
    <x v="1"/>
    <n v="15"/>
    <x v="0"/>
    <x v="0"/>
    <n v="30"/>
    <x v="0"/>
    <n v="20"/>
    <n v="15"/>
    <n v="50"/>
  </r>
  <r>
    <n v="3432"/>
    <x v="195"/>
    <x v="2"/>
    <d v="2024-09-14T00:00:00"/>
    <x v="0"/>
    <n v="10"/>
    <x v="1"/>
    <x v="1"/>
    <s v="-"/>
    <x v="0"/>
    <n v="20"/>
    <n v="15"/>
    <n v="15"/>
  </r>
  <r>
    <n v="3433"/>
    <x v="196"/>
    <x v="1"/>
    <d v="2024-09-15T00:00:00"/>
    <x v="1"/>
    <n v="5"/>
    <x v="0"/>
    <x v="1"/>
    <s v="-"/>
    <x v="1"/>
    <n v="0"/>
    <n v="1"/>
    <n v="4"/>
  </r>
  <r>
    <n v="3434"/>
    <x v="197"/>
    <x v="0"/>
    <d v="2024-09-16T00:00:00"/>
    <x v="0"/>
    <n v="15"/>
    <x v="2"/>
    <x v="0"/>
    <n v="30"/>
    <x v="0"/>
    <n v="20"/>
    <n v="7"/>
    <n v="58"/>
  </r>
  <r>
    <n v="3435"/>
    <x v="198"/>
    <x v="2"/>
    <d v="2024-09-17T00:00:00"/>
    <x v="1"/>
    <n v="10"/>
    <x v="0"/>
    <x v="1"/>
    <s v="-"/>
    <x v="0"/>
    <n v="20"/>
    <n v="10"/>
    <n v="20"/>
  </r>
  <r>
    <n v="3436"/>
    <x v="199"/>
    <x v="1"/>
    <d v="2024-09-18T00:00:00"/>
    <x v="0"/>
    <n v="5"/>
    <x v="0"/>
    <x v="1"/>
    <s v="-"/>
    <x v="1"/>
    <n v="0"/>
    <n v="0"/>
    <n v="5"/>
  </r>
  <r>
    <n v="3437"/>
    <x v="200"/>
    <x v="0"/>
    <d v="2024-09-19T00:00:00"/>
    <x v="1"/>
    <n v="15"/>
    <x v="2"/>
    <x v="0"/>
    <n v="30"/>
    <x v="0"/>
    <n v="20"/>
    <n v="7"/>
    <n v="58"/>
  </r>
  <r>
    <n v="3438"/>
    <x v="201"/>
    <x v="2"/>
    <d v="2024-09-20T00:00:00"/>
    <x v="0"/>
    <n v="10"/>
    <x v="1"/>
    <x v="1"/>
    <s v="-"/>
    <x v="0"/>
    <n v="20"/>
    <n v="10"/>
    <n v="20"/>
  </r>
  <r>
    <n v="3439"/>
    <x v="202"/>
    <x v="1"/>
    <d v="2024-09-21T00:00:00"/>
    <x v="1"/>
    <n v="5"/>
    <x v="2"/>
    <x v="1"/>
    <s v="-"/>
    <x v="1"/>
    <n v="0"/>
    <n v="1"/>
    <n v="4"/>
  </r>
  <r>
    <n v="3440"/>
    <x v="203"/>
    <x v="0"/>
    <d v="2024-09-22T00:00:00"/>
    <x v="0"/>
    <n v="15"/>
    <x v="0"/>
    <x v="0"/>
    <n v="30"/>
    <x v="0"/>
    <n v="20"/>
    <n v="15"/>
    <n v="50"/>
  </r>
  <r>
    <n v="3441"/>
    <x v="204"/>
    <x v="2"/>
    <d v="2024-09-23T00:00:00"/>
    <x v="1"/>
    <n v="10"/>
    <x v="0"/>
    <x v="1"/>
    <s v="-"/>
    <x v="0"/>
    <n v="20"/>
    <n v="5"/>
    <n v="25"/>
  </r>
  <r>
    <n v="3442"/>
    <x v="205"/>
    <x v="1"/>
    <d v="2024-09-24T00:00:00"/>
    <x v="0"/>
    <n v="5"/>
    <x v="1"/>
    <x v="1"/>
    <s v="-"/>
    <x v="1"/>
    <n v="0"/>
    <n v="0"/>
    <n v="5"/>
  </r>
  <r>
    <n v="3443"/>
    <x v="206"/>
    <x v="0"/>
    <d v="2024-09-25T00:00:00"/>
    <x v="1"/>
    <n v="15"/>
    <x v="2"/>
    <x v="0"/>
    <n v="30"/>
    <x v="0"/>
    <n v="20"/>
    <n v="20"/>
    <n v="45"/>
  </r>
  <r>
    <n v="3444"/>
    <x v="207"/>
    <x v="2"/>
    <d v="2024-09-26T00:00:00"/>
    <x v="0"/>
    <n v="10"/>
    <x v="2"/>
    <x v="1"/>
    <s v="-"/>
    <x v="0"/>
    <n v="20"/>
    <n v="12"/>
    <n v="18"/>
  </r>
  <r>
    <n v="3445"/>
    <x v="37"/>
    <x v="1"/>
    <d v="2024-09-27T00:00:00"/>
    <x v="1"/>
    <n v="5"/>
    <x v="0"/>
    <x v="1"/>
    <s v="-"/>
    <x v="1"/>
    <n v="0"/>
    <n v="2"/>
    <n v="3"/>
  </r>
  <r>
    <n v="3446"/>
    <x v="208"/>
    <x v="0"/>
    <d v="2024-09-28T00:00:00"/>
    <x v="0"/>
    <n v="15"/>
    <x v="1"/>
    <x v="0"/>
    <n v="30"/>
    <x v="0"/>
    <n v="20"/>
    <n v="5"/>
    <n v="60"/>
  </r>
  <r>
    <n v="3447"/>
    <x v="209"/>
    <x v="2"/>
    <d v="2024-09-29T00:00:00"/>
    <x v="1"/>
    <n v="10"/>
    <x v="0"/>
    <x v="1"/>
    <s v="-"/>
    <x v="0"/>
    <n v="20"/>
    <n v="10"/>
    <n v="20"/>
  </r>
  <r>
    <n v="3448"/>
    <x v="210"/>
    <x v="1"/>
    <d v="2024-09-30T00:00:00"/>
    <x v="0"/>
    <n v="5"/>
    <x v="2"/>
    <x v="1"/>
    <s v="-"/>
    <x v="1"/>
    <n v="0"/>
    <n v="0"/>
    <n v="5"/>
  </r>
  <r>
    <n v="3449"/>
    <x v="211"/>
    <x v="0"/>
    <d v="2024-10-01T00:00:00"/>
    <x v="1"/>
    <n v="15"/>
    <x v="0"/>
    <x v="0"/>
    <n v="30"/>
    <x v="0"/>
    <n v="20"/>
    <n v="3"/>
    <n v="62"/>
  </r>
  <r>
    <n v="3450"/>
    <x v="212"/>
    <x v="2"/>
    <d v="2024-10-02T00:00:00"/>
    <x v="0"/>
    <n v="10"/>
    <x v="1"/>
    <x v="1"/>
    <s v="-"/>
    <x v="0"/>
    <n v="20"/>
    <n v="15"/>
    <n v="15"/>
  </r>
  <r>
    <n v="3451"/>
    <x v="213"/>
    <x v="1"/>
    <d v="2024-10-03T00:00:00"/>
    <x v="1"/>
    <n v="5"/>
    <x v="0"/>
    <x v="1"/>
    <s v="-"/>
    <x v="1"/>
    <n v="0"/>
    <n v="1"/>
    <n v="4"/>
  </r>
  <r>
    <n v="3452"/>
    <x v="191"/>
    <x v="0"/>
    <d v="2024-10-04T00:00:00"/>
    <x v="0"/>
    <n v="15"/>
    <x v="2"/>
    <x v="0"/>
    <n v="30"/>
    <x v="0"/>
    <n v="20"/>
    <n v="7"/>
    <n v="58"/>
  </r>
  <r>
    <n v="3453"/>
    <x v="45"/>
    <x v="2"/>
    <d v="2024-10-05T00:00:00"/>
    <x v="1"/>
    <n v="10"/>
    <x v="0"/>
    <x v="1"/>
    <s v="-"/>
    <x v="0"/>
    <n v="20"/>
    <n v="10"/>
    <n v="20"/>
  </r>
  <r>
    <n v="3454"/>
    <x v="214"/>
    <x v="1"/>
    <d v="2024-10-06T00:00:00"/>
    <x v="0"/>
    <n v="5"/>
    <x v="1"/>
    <x v="1"/>
    <s v="-"/>
    <x v="1"/>
    <n v="0"/>
    <n v="0"/>
    <n v="5"/>
  </r>
  <r>
    <n v="3455"/>
    <x v="215"/>
    <x v="0"/>
    <d v="2024-10-07T00:00:00"/>
    <x v="1"/>
    <n v="15"/>
    <x v="0"/>
    <x v="0"/>
    <n v="30"/>
    <x v="0"/>
    <n v="20"/>
    <n v="20"/>
    <n v="45"/>
  </r>
  <r>
    <n v="3456"/>
    <x v="216"/>
    <x v="2"/>
    <d v="2024-10-08T00:00:00"/>
    <x v="0"/>
    <n v="10"/>
    <x v="2"/>
    <x v="1"/>
    <s v="-"/>
    <x v="0"/>
    <n v="20"/>
    <n v="15"/>
    <n v="15"/>
  </r>
  <r>
    <n v="3457"/>
    <x v="217"/>
    <x v="1"/>
    <d v="2024-10-09T00:00:00"/>
    <x v="1"/>
    <n v="5"/>
    <x v="0"/>
    <x v="1"/>
    <s v="-"/>
    <x v="1"/>
    <n v="0"/>
    <n v="1"/>
    <n v="4"/>
  </r>
  <r>
    <n v="3458"/>
    <x v="218"/>
    <x v="0"/>
    <d v="2024-10-10T00:00:00"/>
    <x v="0"/>
    <n v="15"/>
    <x v="1"/>
    <x v="0"/>
    <n v="30"/>
    <x v="0"/>
    <n v="20"/>
    <n v="3"/>
    <n v="62"/>
  </r>
  <r>
    <n v="3459"/>
    <x v="219"/>
    <x v="2"/>
    <d v="2024-10-11T00:00:00"/>
    <x v="1"/>
    <n v="10"/>
    <x v="0"/>
    <x v="1"/>
    <s v="-"/>
    <x v="0"/>
    <n v="20"/>
    <n v="10"/>
    <n v="20"/>
  </r>
  <r>
    <n v="3460"/>
    <x v="127"/>
    <x v="1"/>
    <d v="2024-10-12T00:00:00"/>
    <x v="0"/>
    <n v="5"/>
    <x v="2"/>
    <x v="1"/>
    <s v="-"/>
    <x v="1"/>
    <n v="0"/>
    <n v="0"/>
    <n v="5"/>
  </r>
  <r>
    <n v="3461"/>
    <x v="220"/>
    <x v="0"/>
    <d v="2024-10-13T00:00:00"/>
    <x v="1"/>
    <n v="15"/>
    <x v="0"/>
    <x v="0"/>
    <n v="30"/>
    <x v="0"/>
    <n v="20"/>
    <n v="15"/>
    <n v="50"/>
  </r>
  <r>
    <n v="3462"/>
    <x v="221"/>
    <x v="2"/>
    <d v="2024-10-14T00:00:00"/>
    <x v="0"/>
    <n v="10"/>
    <x v="1"/>
    <x v="1"/>
    <s v="-"/>
    <x v="0"/>
    <n v="20"/>
    <n v="15"/>
    <n v="15"/>
  </r>
  <r>
    <n v="3463"/>
    <x v="222"/>
    <x v="1"/>
    <d v="2024-10-15T00:00:00"/>
    <x v="1"/>
    <n v="5"/>
    <x v="0"/>
    <x v="1"/>
    <s v="-"/>
    <x v="1"/>
    <n v="0"/>
    <n v="1"/>
    <n v="4"/>
  </r>
  <r>
    <n v="3464"/>
    <x v="223"/>
    <x v="0"/>
    <d v="2024-10-16T00:00:00"/>
    <x v="0"/>
    <n v="15"/>
    <x v="2"/>
    <x v="0"/>
    <n v="30"/>
    <x v="0"/>
    <n v="20"/>
    <n v="7"/>
    <n v="58"/>
  </r>
  <r>
    <n v="3465"/>
    <x v="224"/>
    <x v="2"/>
    <d v="2024-10-17T00:00:00"/>
    <x v="1"/>
    <n v="10"/>
    <x v="0"/>
    <x v="1"/>
    <s v="-"/>
    <x v="0"/>
    <n v="20"/>
    <n v="10"/>
    <n v="20"/>
  </r>
  <r>
    <n v="3466"/>
    <x v="225"/>
    <x v="1"/>
    <d v="2024-10-18T00:00:00"/>
    <x v="0"/>
    <n v="5"/>
    <x v="1"/>
    <x v="1"/>
    <s v="-"/>
    <x v="1"/>
    <n v="0"/>
    <n v="0"/>
    <n v="5"/>
  </r>
  <r>
    <n v="3467"/>
    <x v="226"/>
    <x v="0"/>
    <d v="2024-10-19T00:00:00"/>
    <x v="1"/>
    <n v="15"/>
    <x v="0"/>
    <x v="0"/>
    <n v="30"/>
    <x v="0"/>
    <n v="20"/>
    <n v="15"/>
    <n v="50"/>
  </r>
  <r>
    <n v="3468"/>
    <x v="227"/>
    <x v="2"/>
    <d v="2024-10-20T00:00:00"/>
    <x v="0"/>
    <n v="10"/>
    <x v="2"/>
    <x v="1"/>
    <s v="-"/>
    <x v="0"/>
    <n v="20"/>
    <n v="12"/>
    <n v="18"/>
  </r>
  <r>
    <n v="3469"/>
    <x v="228"/>
    <x v="1"/>
    <d v="2024-10-21T00:00:00"/>
    <x v="1"/>
    <n v="5"/>
    <x v="0"/>
    <x v="1"/>
    <s v="-"/>
    <x v="1"/>
    <n v="0"/>
    <n v="2"/>
    <n v="3"/>
  </r>
  <r>
    <n v="3470"/>
    <x v="229"/>
    <x v="0"/>
    <d v="2024-10-22T00:00:00"/>
    <x v="0"/>
    <n v="15"/>
    <x v="1"/>
    <x v="0"/>
    <n v="30"/>
    <x v="0"/>
    <n v="20"/>
    <n v="5"/>
    <n v="60"/>
  </r>
  <r>
    <n v="3471"/>
    <x v="230"/>
    <x v="2"/>
    <d v="2024-10-23T00:00:00"/>
    <x v="1"/>
    <n v="10"/>
    <x v="0"/>
    <x v="1"/>
    <s v="-"/>
    <x v="0"/>
    <n v="20"/>
    <n v="10"/>
    <n v="20"/>
  </r>
  <r>
    <n v="3472"/>
    <x v="231"/>
    <x v="1"/>
    <d v="2024-10-24T00:00:00"/>
    <x v="0"/>
    <n v="5"/>
    <x v="2"/>
    <x v="1"/>
    <s v="-"/>
    <x v="1"/>
    <n v="0"/>
    <n v="0"/>
    <n v="5"/>
  </r>
  <r>
    <n v="3473"/>
    <x v="140"/>
    <x v="0"/>
    <d v="2024-10-25T00:00:00"/>
    <x v="1"/>
    <n v="15"/>
    <x v="0"/>
    <x v="0"/>
    <n v="30"/>
    <x v="0"/>
    <n v="20"/>
    <n v="3"/>
    <n v="62"/>
  </r>
  <r>
    <n v="3474"/>
    <x v="232"/>
    <x v="2"/>
    <d v="2024-10-26T00:00:00"/>
    <x v="0"/>
    <n v="10"/>
    <x v="1"/>
    <x v="1"/>
    <s v="-"/>
    <x v="0"/>
    <n v="20"/>
    <n v="15"/>
    <n v="15"/>
  </r>
  <r>
    <n v="3475"/>
    <x v="233"/>
    <x v="1"/>
    <d v="2024-10-27T00:00:00"/>
    <x v="1"/>
    <n v="5"/>
    <x v="0"/>
    <x v="1"/>
    <s v="-"/>
    <x v="1"/>
    <n v="0"/>
    <n v="1"/>
    <n v="4"/>
  </r>
  <r>
    <n v="3476"/>
    <x v="234"/>
    <x v="0"/>
    <d v="2024-10-28T00:00:00"/>
    <x v="0"/>
    <n v="15"/>
    <x v="2"/>
    <x v="0"/>
    <n v="30"/>
    <x v="0"/>
    <n v="20"/>
    <n v="7"/>
    <n v="58"/>
  </r>
  <r>
    <n v="3477"/>
    <x v="235"/>
    <x v="2"/>
    <d v="2024-10-29T00:00:00"/>
    <x v="1"/>
    <n v="10"/>
    <x v="0"/>
    <x v="1"/>
    <s v="-"/>
    <x v="0"/>
    <n v="20"/>
    <n v="10"/>
    <n v="20"/>
  </r>
  <r>
    <n v="3478"/>
    <x v="236"/>
    <x v="1"/>
    <d v="2024-10-30T00:00:00"/>
    <x v="0"/>
    <n v="5"/>
    <x v="1"/>
    <x v="1"/>
    <s v="-"/>
    <x v="1"/>
    <n v="0"/>
    <n v="0"/>
    <n v="5"/>
  </r>
  <r>
    <n v="3479"/>
    <x v="237"/>
    <x v="0"/>
    <d v="2024-10-31T00:00:00"/>
    <x v="1"/>
    <n v="15"/>
    <x v="0"/>
    <x v="0"/>
    <n v="30"/>
    <x v="0"/>
    <n v="20"/>
    <n v="20"/>
    <n v="45"/>
  </r>
  <r>
    <n v="3480"/>
    <x v="238"/>
    <x v="2"/>
    <d v="2024-11-01T00:00:00"/>
    <x v="0"/>
    <n v="10"/>
    <x v="2"/>
    <x v="1"/>
    <s v="-"/>
    <x v="0"/>
    <n v="20"/>
    <n v="15"/>
    <n v="15"/>
  </r>
  <r>
    <n v="3481"/>
    <x v="239"/>
    <x v="1"/>
    <d v="2024-11-02T00:00:00"/>
    <x v="1"/>
    <n v="5"/>
    <x v="0"/>
    <x v="1"/>
    <s v="-"/>
    <x v="1"/>
    <n v="0"/>
    <n v="1"/>
    <n v="4"/>
  </r>
  <r>
    <n v="3482"/>
    <x v="240"/>
    <x v="0"/>
    <d v="2024-11-03T00:00:00"/>
    <x v="0"/>
    <n v="15"/>
    <x v="1"/>
    <x v="0"/>
    <n v="30"/>
    <x v="0"/>
    <n v="20"/>
    <n v="3"/>
    <n v="62"/>
  </r>
  <r>
    <n v="3483"/>
    <x v="241"/>
    <x v="2"/>
    <d v="2024-11-04T00:00:00"/>
    <x v="1"/>
    <n v="10"/>
    <x v="0"/>
    <x v="1"/>
    <s v="-"/>
    <x v="0"/>
    <n v="20"/>
    <n v="10"/>
    <n v="20"/>
  </r>
  <r>
    <n v="3484"/>
    <x v="242"/>
    <x v="1"/>
    <d v="2024-11-05T00:00:00"/>
    <x v="0"/>
    <n v="5"/>
    <x v="2"/>
    <x v="1"/>
    <s v="-"/>
    <x v="1"/>
    <n v="0"/>
    <n v="0"/>
    <n v="5"/>
  </r>
  <r>
    <n v="3485"/>
    <x v="243"/>
    <x v="0"/>
    <d v="2024-11-06T00:00:00"/>
    <x v="1"/>
    <n v="15"/>
    <x v="0"/>
    <x v="0"/>
    <n v="30"/>
    <x v="0"/>
    <n v="20"/>
    <n v="15"/>
    <n v="50"/>
  </r>
  <r>
    <n v="3486"/>
    <x v="244"/>
    <x v="1"/>
    <d v="2024-11-07T00:00:00"/>
    <x v="0"/>
    <n v="5"/>
    <x v="0"/>
    <x v="1"/>
    <s v="-"/>
    <x v="1"/>
    <n v="0"/>
    <n v="0"/>
    <n v="5"/>
  </r>
  <r>
    <n v="3487"/>
    <x v="245"/>
    <x v="0"/>
    <d v="2024-11-08T00:00:00"/>
    <x v="1"/>
    <n v="15"/>
    <x v="2"/>
    <x v="0"/>
    <n v="30"/>
    <x v="0"/>
    <n v="20"/>
    <n v="7"/>
    <n v="58"/>
  </r>
  <r>
    <n v="3488"/>
    <x v="246"/>
    <x v="2"/>
    <d v="2024-11-09T00:00:00"/>
    <x v="0"/>
    <n v="10"/>
    <x v="1"/>
    <x v="1"/>
    <s v="-"/>
    <x v="0"/>
    <n v="20"/>
    <n v="10"/>
    <n v="20"/>
  </r>
  <r>
    <n v="3489"/>
    <x v="247"/>
    <x v="1"/>
    <d v="2024-11-10T00:00:00"/>
    <x v="1"/>
    <n v="5"/>
    <x v="2"/>
    <x v="1"/>
    <s v="-"/>
    <x v="1"/>
    <n v="0"/>
    <n v="1"/>
    <n v="4"/>
  </r>
  <r>
    <n v="3490"/>
    <x v="248"/>
    <x v="0"/>
    <d v="2024-11-11T00:00:00"/>
    <x v="0"/>
    <n v="15"/>
    <x v="0"/>
    <x v="0"/>
    <n v="30"/>
    <x v="0"/>
    <n v="20"/>
    <n v="15"/>
    <n v="50"/>
  </r>
  <r>
    <n v="3491"/>
    <x v="249"/>
    <x v="2"/>
    <d v="2024-11-12T00:00:00"/>
    <x v="1"/>
    <n v="10"/>
    <x v="0"/>
    <x v="1"/>
    <s v="-"/>
    <x v="0"/>
    <n v="20"/>
    <n v="5"/>
    <n v="25"/>
  </r>
  <r>
    <n v="3492"/>
    <x v="250"/>
    <x v="1"/>
    <d v="2024-11-13T00:00:00"/>
    <x v="0"/>
    <n v="5"/>
    <x v="1"/>
    <x v="1"/>
    <s v="-"/>
    <x v="1"/>
    <n v="0"/>
    <n v="0"/>
    <n v="5"/>
  </r>
  <r>
    <n v="3493"/>
    <x v="251"/>
    <x v="0"/>
    <d v="2024-11-14T00:00:00"/>
    <x v="1"/>
    <n v="15"/>
    <x v="2"/>
    <x v="0"/>
    <n v="30"/>
    <x v="0"/>
    <n v="20"/>
    <n v="20"/>
    <n v="45"/>
  </r>
  <r>
    <n v="3494"/>
    <x v="252"/>
    <x v="2"/>
    <d v="2024-11-15T00:00:00"/>
    <x v="0"/>
    <n v="10"/>
    <x v="2"/>
    <x v="1"/>
    <s v="-"/>
    <x v="0"/>
    <n v="20"/>
    <n v="12"/>
    <n v="18"/>
  </r>
  <r>
    <n v="3495"/>
    <x v="253"/>
    <x v="1"/>
    <d v="2024-11-16T00:00:00"/>
    <x v="1"/>
    <n v="5"/>
    <x v="0"/>
    <x v="1"/>
    <s v="-"/>
    <x v="1"/>
    <n v="0"/>
    <n v="2"/>
    <n v="3"/>
  </r>
  <r>
    <n v="3496"/>
    <x v="254"/>
    <x v="0"/>
    <d v="2024-11-17T00:00:00"/>
    <x v="0"/>
    <n v="15"/>
    <x v="1"/>
    <x v="0"/>
    <n v="30"/>
    <x v="0"/>
    <n v="20"/>
    <n v="5"/>
    <n v="60"/>
  </r>
  <r>
    <n v="3497"/>
    <x v="255"/>
    <x v="2"/>
    <d v="2024-11-18T00:00:00"/>
    <x v="1"/>
    <n v="10"/>
    <x v="0"/>
    <x v="1"/>
    <s v="-"/>
    <x v="0"/>
    <n v="20"/>
    <n v="10"/>
    <n v="20"/>
  </r>
  <r>
    <n v="3498"/>
    <x v="256"/>
    <x v="1"/>
    <d v="2024-11-19T00:00:00"/>
    <x v="0"/>
    <n v="5"/>
    <x v="2"/>
    <x v="1"/>
    <s v="-"/>
    <x v="1"/>
    <n v="0"/>
    <n v="0"/>
    <n v="5"/>
  </r>
  <r>
    <n v="3499"/>
    <x v="257"/>
    <x v="0"/>
    <d v="2024-11-20T00:00:00"/>
    <x v="1"/>
    <n v="15"/>
    <x v="0"/>
    <x v="0"/>
    <n v="30"/>
    <x v="0"/>
    <n v="20"/>
    <n v="3"/>
    <n v="62"/>
  </r>
  <r>
    <n v="3500"/>
    <x v="258"/>
    <x v="2"/>
    <d v="2024-11-21T00:00:00"/>
    <x v="0"/>
    <n v="10"/>
    <x v="1"/>
    <x v="1"/>
    <s v="-"/>
    <x v="0"/>
    <n v="20"/>
    <n v="15"/>
    <n v="15"/>
  </r>
  <r>
    <n v="3501"/>
    <x v="259"/>
    <x v="1"/>
    <d v="2024-11-22T00:00:00"/>
    <x v="1"/>
    <n v="5"/>
    <x v="0"/>
    <x v="1"/>
    <s v="-"/>
    <x v="1"/>
    <n v="0"/>
    <n v="1"/>
    <n v="4"/>
  </r>
  <r>
    <n v="3502"/>
    <x v="260"/>
    <x v="0"/>
    <d v="2024-11-23T00:00:00"/>
    <x v="0"/>
    <n v="15"/>
    <x v="2"/>
    <x v="0"/>
    <n v="30"/>
    <x v="0"/>
    <n v="20"/>
    <n v="7"/>
    <n v="58"/>
  </r>
  <r>
    <n v="3503"/>
    <x v="119"/>
    <x v="2"/>
    <d v="2024-11-24T00:00:00"/>
    <x v="1"/>
    <n v="10"/>
    <x v="0"/>
    <x v="1"/>
    <s v="-"/>
    <x v="0"/>
    <n v="20"/>
    <n v="10"/>
    <n v="20"/>
  </r>
  <r>
    <n v="3504"/>
    <x v="261"/>
    <x v="1"/>
    <d v="2024-11-25T00:00:00"/>
    <x v="0"/>
    <n v="5"/>
    <x v="1"/>
    <x v="1"/>
    <s v="-"/>
    <x v="1"/>
    <n v="0"/>
    <n v="0"/>
    <n v="5"/>
  </r>
  <r>
    <n v="3505"/>
    <x v="262"/>
    <x v="0"/>
    <d v="2024-11-26T00:00:00"/>
    <x v="1"/>
    <n v="15"/>
    <x v="0"/>
    <x v="0"/>
    <n v="30"/>
    <x v="0"/>
    <n v="20"/>
    <n v="20"/>
    <n v="45"/>
  </r>
  <r>
    <n v="3506"/>
    <x v="263"/>
    <x v="2"/>
    <d v="2024-11-27T00:00:00"/>
    <x v="0"/>
    <n v="10"/>
    <x v="2"/>
    <x v="1"/>
    <s v="-"/>
    <x v="0"/>
    <n v="20"/>
    <n v="15"/>
    <n v="15"/>
  </r>
  <r>
    <n v="3507"/>
    <x v="264"/>
    <x v="1"/>
    <d v="2024-11-28T00:00:00"/>
    <x v="1"/>
    <n v="5"/>
    <x v="0"/>
    <x v="1"/>
    <s v="-"/>
    <x v="1"/>
    <n v="0"/>
    <n v="1"/>
    <n v="4"/>
  </r>
  <r>
    <n v="3508"/>
    <x v="265"/>
    <x v="0"/>
    <d v="2024-11-29T00:00:00"/>
    <x v="0"/>
    <n v="15"/>
    <x v="1"/>
    <x v="0"/>
    <n v="30"/>
    <x v="0"/>
    <n v="20"/>
    <n v="3"/>
    <n v="62"/>
  </r>
  <r>
    <n v="3509"/>
    <x v="266"/>
    <x v="2"/>
    <d v="2024-11-30T00:00:00"/>
    <x v="1"/>
    <n v="10"/>
    <x v="0"/>
    <x v="1"/>
    <s v="-"/>
    <x v="0"/>
    <n v="20"/>
    <n v="10"/>
    <n v="20"/>
  </r>
  <r>
    <n v="3510"/>
    <x v="267"/>
    <x v="1"/>
    <d v="2024-12-01T00:00:00"/>
    <x v="0"/>
    <n v="5"/>
    <x v="2"/>
    <x v="1"/>
    <s v="-"/>
    <x v="1"/>
    <n v="0"/>
    <n v="0"/>
    <n v="5"/>
  </r>
  <r>
    <n v="3511"/>
    <x v="268"/>
    <x v="0"/>
    <d v="2024-12-02T00:00:00"/>
    <x v="1"/>
    <n v="15"/>
    <x v="0"/>
    <x v="0"/>
    <n v="30"/>
    <x v="0"/>
    <n v="20"/>
    <n v="15"/>
    <n v="50"/>
  </r>
  <r>
    <n v="3512"/>
    <x v="269"/>
    <x v="2"/>
    <d v="2024-12-03T00:00:00"/>
    <x v="0"/>
    <n v="10"/>
    <x v="1"/>
    <x v="1"/>
    <s v="-"/>
    <x v="0"/>
    <n v="20"/>
    <n v="15"/>
    <n v="15"/>
  </r>
  <r>
    <n v="3513"/>
    <x v="270"/>
    <x v="1"/>
    <d v="2024-12-04T00:00:00"/>
    <x v="1"/>
    <n v="5"/>
    <x v="0"/>
    <x v="1"/>
    <s v="-"/>
    <x v="1"/>
    <n v="0"/>
    <n v="1"/>
    <n v="4"/>
  </r>
  <r>
    <n v="3514"/>
    <x v="271"/>
    <x v="0"/>
    <d v="2024-12-05T00:00:00"/>
    <x v="0"/>
    <n v="15"/>
    <x v="2"/>
    <x v="0"/>
    <n v="30"/>
    <x v="0"/>
    <n v="20"/>
    <n v="7"/>
    <n v="58"/>
  </r>
  <r>
    <n v="3515"/>
    <x v="130"/>
    <x v="2"/>
    <d v="2024-12-06T00:00:00"/>
    <x v="1"/>
    <n v="10"/>
    <x v="0"/>
    <x v="1"/>
    <s v="-"/>
    <x v="0"/>
    <n v="20"/>
    <n v="10"/>
    <n v="20"/>
  </r>
  <r>
    <n v="3516"/>
    <x v="131"/>
    <x v="1"/>
    <d v="2024-12-07T00:00:00"/>
    <x v="0"/>
    <n v="5"/>
    <x v="1"/>
    <x v="1"/>
    <s v="-"/>
    <x v="1"/>
    <n v="0"/>
    <n v="0"/>
    <n v="5"/>
  </r>
  <r>
    <n v="3517"/>
    <x v="181"/>
    <x v="0"/>
    <d v="2024-12-08T00:00:00"/>
    <x v="1"/>
    <n v="15"/>
    <x v="0"/>
    <x v="0"/>
    <n v="30"/>
    <x v="0"/>
    <n v="20"/>
    <n v="20"/>
    <n v="45"/>
  </r>
  <r>
    <n v="3518"/>
    <x v="272"/>
    <x v="2"/>
    <d v="2024-12-09T00:00:00"/>
    <x v="0"/>
    <n v="10"/>
    <x v="2"/>
    <x v="1"/>
    <s v="-"/>
    <x v="0"/>
    <n v="20"/>
    <n v="12"/>
    <n v="18"/>
  </r>
  <r>
    <n v="3519"/>
    <x v="273"/>
    <x v="1"/>
    <d v="2024-12-10T00:00:00"/>
    <x v="1"/>
    <n v="5"/>
    <x v="0"/>
    <x v="1"/>
    <s v="-"/>
    <x v="1"/>
    <n v="0"/>
    <n v="2"/>
    <n v="3"/>
  </r>
  <r>
    <n v="3520"/>
    <x v="274"/>
    <x v="0"/>
    <d v="2024-12-11T00:00:00"/>
    <x v="0"/>
    <n v="15"/>
    <x v="1"/>
    <x v="0"/>
    <n v="30"/>
    <x v="0"/>
    <n v="20"/>
    <n v="5"/>
    <n v="60"/>
  </r>
  <r>
    <n v="3521"/>
    <x v="275"/>
    <x v="2"/>
    <d v="2024-12-12T00:00:00"/>
    <x v="1"/>
    <n v="10"/>
    <x v="0"/>
    <x v="1"/>
    <s v="-"/>
    <x v="0"/>
    <n v="20"/>
    <n v="10"/>
    <n v="20"/>
  </r>
  <r>
    <n v="3522"/>
    <x v="276"/>
    <x v="1"/>
    <d v="2024-12-13T00:00:00"/>
    <x v="0"/>
    <n v="5"/>
    <x v="2"/>
    <x v="1"/>
    <s v="-"/>
    <x v="1"/>
    <n v="0"/>
    <n v="0"/>
    <n v="5"/>
  </r>
  <r>
    <n v="3523"/>
    <x v="277"/>
    <x v="0"/>
    <d v="2024-12-14T00:00:00"/>
    <x v="1"/>
    <n v="15"/>
    <x v="0"/>
    <x v="0"/>
    <n v="30"/>
    <x v="0"/>
    <n v="20"/>
    <n v="3"/>
    <n v="62"/>
  </r>
  <r>
    <n v="3524"/>
    <x v="278"/>
    <x v="2"/>
    <d v="2024-12-15T00:00:00"/>
    <x v="0"/>
    <n v="10"/>
    <x v="1"/>
    <x v="1"/>
    <s v="-"/>
    <x v="0"/>
    <n v="20"/>
    <n v="15"/>
    <n v="15"/>
  </r>
  <r>
    <n v="3525"/>
    <x v="279"/>
    <x v="1"/>
    <d v="2024-12-16T00:00:00"/>
    <x v="1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53A140-B730-455C-950F-1D7FBDE097EF}" name="Tabela dinâmica8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6:C48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dataField="1" showAll="0"/>
    <pivotField numFmtId="44" showAll="0"/>
    <pivotField numFmtId="44" showAll="0"/>
    <pivotField numFmtId="44" showAll="0"/>
  </pivotFields>
  <rowFields count="1">
    <field x="6"/>
  </rowFields>
  <rowItems count="2">
    <i>
      <x v="2"/>
    </i>
    <i t="grand">
      <x/>
    </i>
  </rowItems>
  <colItems count="1">
    <i/>
  </colItems>
  <dataFields count="1">
    <dataField name="Contagem de Minecraft Season Pas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00D9E-DB0B-4E5B-9B1B-115A76EF4792}" name="Tabela dinâmica7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27:C31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Page" multipleItemSelectionAllowed="1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oma de EA Play Season Pass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A88E2-2E8D-42C7-93A8-EEA819483ED4}" name="Tabela dinâmica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8:C22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h="1" x="1"/>
        <item x="0"/>
        <item t="default"/>
      </items>
    </pivotField>
    <pivotField numFmtId="44" showAll="0"/>
    <pivotField axis="axisRow" showAll="0">
      <items count="4">
        <item sd="0" x="1"/>
        <item sd="0" x="0"/>
        <item sd="0" x="2"/>
        <item t="default" sd="0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887B0-F4EB-4F03-A70D-8A482B0EEC18}" name="Tabela dinâ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B12:C1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7D5ED0CB-9152-4395-A6C3-B22033A47FF2}" sourceName="Auto Renewal">
  <pivotTables>
    <pivotTable tabId="3" name="Tabela dinâmica7"/>
  </pivotTables>
  <data>
    <tabular pivotCacheId="1642316999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EE7CE28D-277D-4FD2-B05F-2E88AED7298B}" sourceName="Subscription Type">
  <pivotTables>
    <pivotTable tabId="3" name="Tabela dinâmica7"/>
  </pivotTables>
  <data>
    <tabular pivotCacheId="1642316999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uto Renewal" xr10:uid="{BDB0BAA8-D395-483B-A713-B9BE879C67D4}" cache="SegmentaçãodeDados_Auto_Renewal" caption="Auto Renewal" style="SlicerStyleLight3 2" rowHeight="247650"/>
  <slicer name="Subscription Type" xr10:uid="{B106B694-4F00-4FFB-9DBA-DAA7EFA3099C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4.4" x14ac:dyDescent="0.3"/>
  <cols>
    <col min="3" max="3" width="9.44140625" bestFit="1" customWidth="1"/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85" sqref="E8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hidden="1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7:C48"/>
  <sheetViews>
    <sheetView showGridLines="0" topLeftCell="A19" zoomScale="70" zoomScaleNormal="70" workbookViewId="0">
      <selection activeCell="I40" sqref="I40"/>
    </sheetView>
  </sheetViews>
  <sheetFormatPr defaultRowHeight="14.4" x14ac:dyDescent="0.3"/>
  <cols>
    <col min="1" max="1" width="11.21875" bestFit="1" customWidth="1"/>
    <col min="2" max="2" width="18.5546875" bestFit="1" customWidth="1"/>
    <col min="3" max="3" width="26.332031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7" spans="2:3" x14ac:dyDescent="0.3">
      <c r="B7" t="s">
        <v>318</v>
      </c>
    </row>
    <row r="8" spans="2:3" x14ac:dyDescent="0.3">
      <c r="B8" t="s">
        <v>317</v>
      </c>
    </row>
    <row r="12" spans="2:3" x14ac:dyDescent="0.3">
      <c r="B12" s="13" t="s">
        <v>314</v>
      </c>
      <c r="C12" t="s">
        <v>313</v>
      </c>
    </row>
    <row r="13" spans="2:3" x14ac:dyDescent="0.3">
      <c r="B13" s="14" t="s">
        <v>31</v>
      </c>
      <c r="C13" s="12">
        <v>1754</v>
      </c>
    </row>
    <row r="14" spans="2:3" x14ac:dyDescent="0.3">
      <c r="B14" s="14" t="s">
        <v>27</v>
      </c>
      <c r="C14" s="12">
        <v>3571</v>
      </c>
    </row>
    <row r="15" spans="2:3" x14ac:dyDescent="0.3">
      <c r="B15" s="14" t="s">
        <v>35</v>
      </c>
      <c r="C15" s="12">
        <v>2308</v>
      </c>
    </row>
    <row r="16" spans="2:3" x14ac:dyDescent="0.3">
      <c r="B16" s="14" t="s">
        <v>315</v>
      </c>
      <c r="C16" s="12">
        <v>7633</v>
      </c>
    </row>
    <row r="18" spans="1:3" x14ac:dyDescent="0.3">
      <c r="B18" s="13" t="s">
        <v>314</v>
      </c>
      <c r="C18" t="s">
        <v>313</v>
      </c>
    </row>
    <row r="19" spans="1:3" x14ac:dyDescent="0.3">
      <c r="B19" s="14" t="s">
        <v>31</v>
      </c>
      <c r="C19" s="12">
        <v>1537</v>
      </c>
    </row>
    <row r="20" spans="1:3" x14ac:dyDescent="0.3">
      <c r="B20" s="14" t="s">
        <v>27</v>
      </c>
      <c r="C20" s="12">
        <v>747</v>
      </c>
    </row>
    <row r="21" spans="1:3" x14ac:dyDescent="0.3">
      <c r="B21" s="14" t="s">
        <v>35</v>
      </c>
      <c r="C21" s="12">
        <v>1502</v>
      </c>
    </row>
    <row r="22" spans="1:3" x14ac:dyDescent="0.3">
      <c r="B22" s="14" t="s">
        <v>315</v>
      </c>
      <c r="C22" s="12">
        <v>3786</v>
      </c>
    </row>
    <row r="25" spans="1:3" x14ac:dyDescent="0.3">
      <c r="B25" s="13" t="s">
        <v>15</v>
      </c>
      <c r="C25" t="s">
        <v>316</v>
      </c>
    </row>
    <row r="27" spans="1:3" x14ac:dyDescent="0.3">
      <c r="B27" s="13" t="s">
        <v>314</v>
      </c>
      <c r="C27" t="s">
        <v>320</v>
      </c>
    </row>
    <row r="28" spans="1:3" x14ac:dyDescent="0.3">
      <c r="A28" s="16">
        <f>GETPIVOTDATA("EA Play Season Pass
Price",$B$27,"Subscription Type","Annual")</f>
        <v>600</v>
      </c>
      <c r="B28" s="14" t="s">
        <v>31</v>
      </c>
      <c r="C28" s="12">
        <v>600</v>
      </c>
    </row>
    <row r="29" spans="1:3" x14ac:dyDescent="0.3">
      <c r="A29" s="16"/>
      <c r="B29" s="14" t="s">
        <v>27</v>
      </c>
      <c r="C29" s="12">
        <v>1350</v>
      </c>
    </row>
    <row r="30" spans="1:3" x14ac:dyDescent="0.3">
      <c r="A30" s="16"/>
      <c r="B30" s="14" t="s">
        <v>35</v>
      </c>
      <c r="C30" s="12">
        <v>990</v>
      </c>
    </row>
    <row r="31" spans="1:3" x14ac:dyDescent="0.3">
      <c r="A31" s="16"/>
      <c r="B31" s="14" t="s">
        <v>315</v>
      </c>
      <c r="C31" s="12">
        <v>2940</v>
      </c>
    </row>
    <row r="32" spans="1:3" x14ac:dyDescent="0.3">
      <c r="A32" s="16">
        <f>GETPIVOTDATA("EA Play Season Pass
Price",$B$27,"Subscription Type","Monthly")</f>
        <v>1350</v>
      </c>
    </row>
    <row r="33" spans="1:3" x14ac:dyDescent="0.3">
      <c r="A33" s="16"/>
    </row>
    <row r="34" spans="1:3" x14ac:dyDescent="0.3">
      <c r="A34" s="16"/>
    </row>
    <row r="35" spans="1:3" x14ac:dyDescent="0.3">
      <c r="A35" s="16"/>
    </row>
    <row r="36" spans="1:3" x14ac:dyDescent="0.3">
      <c r="A36" s="16">
        <f>GETPIVOTDATA("EA Play Season Pass
Price",$B$27,"Subscription Type","Quarterly")</f>
        <v>990</v>
      </c>
    </row>
    <row r="37" spans="1:3" x14ac:dyDescent="0.3">
      <c r="A37" s="16"/>
    </row>
    <row r="38" spans="1:3" x14ac:dyDescent="0.3">
      <c r="A38" s="16"/>
    </row>
    <row r="39" spans="1:3" x14ac:dyDescent="0.3">
      <c r="A39" s="16"/>
    </row>
    <row r="40" spans="1:3" x14ac:dyDescent="0.3">
      <c r="A40" s="16">
        <f>GETPIVOTDATA("EA Play Season Pass
Price",$B$27)</f>
        <v>2940</v>
      </c>
    </row>
    <row r="42" spans="1:3" x14ac:dyDescent="0.3">
      <c r="B42" t="s">
        <v>321</v>
      </c>
    </row>
    <row r="46" spans="1:3" x14ac:dyDescent="0.3">
      <c r="B46" s="13" t="s">
        <v>314</v>
      </c>
      <c r="C46" t="s">
        <v>322</v>
      </c>
    </row>
    <row r="47" spans="1:3" x14ac:dyDescent="0.3">
      <c r="B47" s="14" t="s">
        <v>35</v>
      </c>
      <c r="C47" s="12">
        <v>85</v>
      </c>
    </row>
    <row r="48" spans="1:3" x14ac:dyDescent="0.3">
      <c r="B48" s="14" t="s">
        <v>315</v>
      </c>
      <c r="C48" s="12">
        <v>85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I8"/>
  <sheetViews>
    <sheetView showGridLines="0" tabSelected="1" zoomScale="80" zoomScaleNormal="80" workbookViewId="0">
      <selection activeCell="H3" sqref="H3"/>
    </sheetView>
  </sheetViews>
  <sheetFormatPr defaultRowHeight="14.4" x14ac:dyDescent="0.3"/>
  <cols>
    <col min="1" max="1" width="27.33203125" style="5" customWidth="1"/>
    <col min="2" max="2" width="3.5546875" style="7" customWidth="1"/>
    <col min="3" max="3" width="39.33203125" style="7" bestFit="1" customWidth="1"/>
    <col min="4" max="11" width="8.88671875" style="7"/>
    <col min="12" max="12" width="6.5546875" style="7" customWidth="1"/>
    <col min="13" max="16384" width="8.88671875" style="7"/>
  </cols>
  <sheetData>
    <row r="1" spans="1:9" s="4" customFormat="1" ht="69" customHeight="1" x14ac:dyDescent="0.3">
      <c r="A1" s="5"/>
      <c r="C1" s="15" t="s">
        <v>319</v>
      </c>
      <c r="D1" s="15"/>
      <c r="E1" s="15"/>
      <c r="F1" s="15"/>
      <c r="G1" s="15"/>
      <c r="H1" s="15"/>
      <c r="I1" s="15"/>
    </row>
    <row r="2" spans="1:9" ht="25.2" customHeight="1" x14ac:dyDescent="0.3">
      <c r="C2" s="18" t="s">
        <v>323</v>
      </c>
      <c r="D2" s="17"/>
      <c r="E2" s="17"/>
      <c r="F2" s="17"/>
      <c r="G2" s="17"/>
      <c r="H2" s="17"/>
      <c r="I2" s="17"/>
    </row>
    <row r="3" spans="1:9" ht="39" customHeight="1" x14ac:dyDescent="0.3"/>
    <row r="4" spans="1:9" ht="8.25" customHeight="1" x14ac:dyDescent="0.3"/>
    <row r="5" spans="1:9" ht="7.5" customHeight="1" x14ac:dyDescent="0.3"/>
    <row r="6" spans="1:9" ht="10.5" customHeight="1" x14ac:dyDescent="0.3"/>
    <row r="7" spans="1:9" ht="9.75" customHeight="1" x14ac:dyDescent="0.3"/>
    <row r="8" spans="1:9" ht="33" customHeight="1" x14ac:dyDescent="0.3"/>
  </sheetData>
  <mergeCells count="1">
    <mergeCell ref="C1:I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CHRISTIAN CORDEIRO ANDRADE DOS SANTOS (EXTERNAL)</cp:lastModifiedBy>
  <cp:revision/>
  <dcterms:created xsi:type="dcterms:W3CDTF">2024-12-19T13:13:10Z</dcterms:created>
  <dcterms:modified xsi:type="dcterms:W3CDTF">2026-01-16T14:08:15Z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